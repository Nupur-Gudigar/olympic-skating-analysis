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917d94bf9baece/Documents/"/>
    </mc:Choice>
  </mc:AlternateContent>
  <xr:revisionPtr revIDLastSave="19" documentId="8_{ED20AF37-CDE8-4B31-B334-4D71C0E6BC65}" xr6:coauthVersionLast="47" xr6:coauthVersionMax="47" xr10:uidLastSave="{DCE0CFC5-A8F7-4CDF-8D23-FF047A19B042}"/>
  <bookViews>
    <workbookView xWindow="-98" yWindow="-98" windowWidth="21795" windowHeight="12975" xr2:uid="{30138280-9D23-4CCD-977F-138495DA9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0" i="1" l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2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26" i="1"/>
  <c r="O27" i="1"/>
  <c r="O28" i="1"/>
  <c r="O29" i="1"/>
  <c r="O30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O4" i="1"/>
  <c r="O5" i="1"/>
  <c r="O2" i="1"/>
</calcChain>
</file>

<file path=xl/sharedStrings.xml><?xml version="1.0" encoding="utf-8"?>
<sst xmlns="http://schemas.openxmlformats.org/spreadsheetml/2006/main" count="1158" uniqueCount="356">
  <si>
    <t>year</t>
  </si>
  <si>
    <t>gender</t>
  </si>
  <si>
    <t>skater</t>
  </si>
  <si>
    <t>nation</t>
  </si>
  <si>
    <t>sp_rank</t>
  </si>
  <si>
    <t>fs_rank</t>
  </si>
  <si>
    <t>final_rank</t>
  </si>
  <si>
    <t>tes_sp</t>
  </si>
  <si>
    <t>pcs_sp</t>
  </si>
  <si>
    <t>tss_sp</t>
  </si>
  <si>
    <t>tes_fs</t>
  </si>
  <si>
    <t>pcs_fs</t>
  </si>
  <si>
    <t>tss_fs</t>
  </si>
  <si>
    <t>tes_total</t>
  </si>
  <si>
    <t>pcs_total</t>
  </si>
  <si>
    <t>tech_dominance</t>
  </si>
  <si>
    <t>medal</t>
  </si>
  <si>
    <t>M</t>
  </si>
  <si>
    <t>SHAIDOROV Mikhail</t>
  </si>
  <si>
    <t>KAZ</t>
  </si>
  <si>
    <t>KAGIYAMA Yuma</t>
  </si>
  <si>
    <t>JPN</t>
  </si>
  <si>
    <t>SATO Shun</t>
  </si>
  <si>
    <t>CHA Junhwan</t>
  </si>
  <si>
    <t>KOR</t>
  </si>
  <si>
    <t>GOGOLEV Stephen</t>
  </si>
  <si>
    <t>CAN</t>
  </si>
  <si>
    <t>GUMENNIK Petr</t>
  </si>
  <si>
    <t>AIN</t>
  </si>
  <si>
    <t>SIAO HIM FA Adam</t>
  </si>
  <si>
    <t>FRA</t>
  </si>
  <si>
    <t>MALININ Ilia</t>
  </si>
  <si>
    <t>USA</t>
  </si>
  <si>
    <t>GRASSL Daniel</t>
  </si>
  <si>
    <t>ITA</t>
  </si>
  <si>
    <t>EGADZE Nika</t>
  </si>
  <si>
    <t>GEO</t>
  </si>
  <si>
    <t>AYMOZ Kevin</t>
  </si>
  <si>
    <t>TORGASHEV Andrew</t>
  </si>
  <si>
    <t>MIURA Kao</t>
  </si>
  <si>
    <t>BRITSCHGI Lukas</t>
  </si>
  <si>
    <t>SUI</t>
  </si>
  <si>
    <t>RIZZO Matteo</t>
  </si>
  <si>
    <t>SELEVKO Aleksandr</t>
  </si>
  <si>
    <t>EST</t>
  </si>
  <si>
    <t>JIN Boyang</t>
  </si>
  <si>
    <t>CHN</t>
  </si>
  <si>
    <t>VASILJEVS Deniss</t>
  </si>
  <si>
    <t>LAT</t>
  </si>
  <si>
    <t>MARSAK Kyrylo</t>
  </si>
  <si>
    <t>UKR</t>
  </si>
  <si>
    <t>NAUMOV Maxim</t>
  </si>
  <si>
    <t>SAMOILOV Vladimir</t>
  </si>
  <si>
    <t>POL</t>
  </si>
  <si>
    <t>CARRILLO Donovan</t>
  </si>
  <si>
    <t>MEX</t>
  </si>
  <si>
    <t>LI Yu-Hsiang</t>
  </si>
  <si>
    <t>TPE</t>
  </si>
  <si>
    <t>HAGARA Adam</t>
  </si>
  <si>
    <t>SVK</t>
  </si>
  <si>
    <t>GUARINO SABATE Tomas</t>
  </si>
  <si>
    <t>ESP</t>
  </si>
  <si>
    <t>KIM Hyungyeom</t>
  </si>
  <si>
    <t>NORDEBACK Andreas</t>
  </si>
  <si>
    <t>SWE</t>
  </si>
  <si>
    <t>KULISS Fedirs</t>
  </si>
  <si>
    <t>LITVINTSEV Vladimir</t>
  </si>
  <si>
    <t>AZE</t>
  </si>
  <si>
    <t>total_tss</t>
  </si>
  <si>
    <t>FNR</t>
  </si>
  <si>
    <t>W</t>
  </si>
  <si>
    <t>LIU Alysa</t>
  </si>
  <si>
    <t>SAKAMOTO Kaori</t>
  </si>
  <si>
    <t>NAKAI Ami</t>
  </si>
  <si>
    <t>CHIBA Mone</t>
  </si>
  <si>
    <t>GLENN Amber</t>
  </si>
  <si>
    <t>PETROSIAN Adeliia</t>
  </si>
  <si>
    <t>PETROKINA Niina</t>
  </si>
  <si>
    <t>LEE Haein</t>
  </si>
  <si>
    <t>GUBANOVA Anastasiia</t>
  </si>
  <si>
    <t>SAMODELKINA Sofia</t>
  </si>
  <si>
    <t>SHIN Jia</t>
  </si>
  <si>
    <t>LEVITO Isabeau</t>
  </si>
  <si>
    <t>PINZARRONE Nina</t>
  </si>
  <si>
    <t>BEL</t>
  </si>
  <si>
    <t>HENDRICKX Loena</t>
  </si>
  <si>
    <t>GUTMANN Lara Naki</t>
  </si>
  <si>
    <t>KARHUNEN Iida</t>
  </si>
  <si>
    <t>FIN</t>
  </si>
  <si>
    <t>SAUTER Julia</t>
  </si>
  <si>
    <t>ROU</t>
  </si>
  <si>
    <t>MIKUTINA Olga</t>
  </si>
  <si>
    <t>AUT</t>
  </si>
  <si>
    <t>ZHANG Ruiyang</t>
  </si>
  <si>
    <t>KURAKOVA Ekaterina</t>
  </si>
  <si>
    <t>KAISER Livia</t>
  </si>
  <si>
    <t>SCHILD Lorine</t>
  </si>
  <si>
    <t>REPOND Kimmy</t>
  </si>
  <si>
    <t>SENIUK Mariia</t>
  </si>
  <si>
    <t>ISR</t>
  </si>
  <si>
    <t>SCHIZAS Madeline</t>
  </si>
  <si>
    <t>SAFONOVA Viktoriia</t>
  </si>
  <si>
    <t>VARIAKOJYTE Meda</t>
  </si>
  <si>
    <t>LTU</t>
  </si>
  <si>
    <t>FEIGIN Alexandra</t>
  </si>
  <si>
    <t>BUL</t>
  </si>
  <si>
    <t>SPOURS Kristen</t>
  </si>
  <si>
    <t>GBR</t>
  </si>
  <si>
    <t>CHEN Nathan</t>
  </si>
  <si>
    <t>UNO Shoma</t>
  </si>
  <si>
    <t>HANYU Yuzuru</t>
  </si>
  <si>
    <t>BROWN Jason</t>
  </si>
  <si>
    <t>SEMENENKO Evgeni</t>
  </si>
  <si>
    <t>ROC</t>
  </si>
  <si>
    <t>KVITELASHVILI Morisi</t>
  </si>
  <si>
    <t>MESSING Keegan</t>
  </si>
  <si>
    <t>KONDRATIUK Mark</t>
  </si>
  <si>
    <t>KERRY Brendan</t>
  </si>
  <si>
    <t>AUS</t>
  </si>
  <si>
    <t>MOZALEV Andrei</t>
  </si>
  <si>
    <t>MILYUKOV Konstantin</t>
  </si>
  <si>
    <t>BLR</t>
  </si>
  <si>
    <t>MAJOROV Nikolaj</t>
  </si>
  <si>
    <t>SHMURATKO Ivan</t>
  </si>
  <si>
    <t>BREZINA Michal</t>
  </si>
  <si>
    <t>CZE</t>
  </si>
  <si>
    <t>BYCHENKO Alexei</t>
  </si>
  <si>
    <t>LEE Sihyeong</t>
  </si>
  <si>
    <t>SADOVSKY Roman</t>
  </si>
  <si>
    <t>WD</t>
  </si>
  <si>
    <t>ZHOU Vincent</t>
  </si>
  <si>
    <t>SHCHERBAKOVA Anna</t>
  </si>
  <si>
    <t>TRUSOVA Alexandra</t>
  </si>
  <si>
    <t>HIGUCHI Wakaba</t>
  </si>
  <si>
    <t>YOU Young</t>
  </si>
  <si>
    <t>KIM Yelim</t>
  </si>
  <si>
    <t>BELL Mariah</t>
  </si>
  <si>
    <t>RYABOVA Ekaterina</t>
  </si>
  <si>
    <t>CHEN Karen</t>
  </si>
  <si>
    <t>SCHOTT Nicole</t>
  </si>
  <si>
    <t>GER</t>
  </si>
  <si>
    <t>van ZUNDERT Lindsay</t>
  </si>
  <si>
    <t>NED</t>
  </si>
  <si>
    <t>BREZINOVA Eliska</t>
  </si>
  <si>
    <t>KIIBUS Eva-Lotta</t>
  </si>
  <si>
    <t>PAGANINI Alexia</t>
  </si>
  <si>
    <t>KAWABE Mana</t>
  </si>
  <si>
    <t>SAARINEN Jenni</t>
  </si>
  <si>
    <t>TALJEGARD Josefin</t>
  </si>
  <si>
    <t>ZHU Yi</t>
  </si>
  <si>
    <t>McKAY Natasha</t>
  </si>
  <si>
    <t>CRAINE Kailani</t>
  </si>
  <si>
    <t>SHABOTOVA Anastasiia</t>
  </si>
  <si>
    <t>DSQ</t>
  </si>
  <si>
    <t>VALIEVA Kamila</t>
  </si>
  <si>
    <t>FERNANDEZ Javier</t>
  </si>
  <si>
    <t>ALIEV Dmitri</t>
  </si>
  <si>
    <t>OAR</t>
  </si>
  <si>
    <t>KOLYADA Mikhail</t>
  </si>
  <si>
    <t>CHAN Patrick</t>
  </si>
  <si>
    <t>RIPPON Adam</t>
  </si>
  <si>
    <t>SAMOHIN Daniel</t>
  </si>
  <si>
    <t>HENDRICKX Jorik</t>
  </si>
  <si>
    <t>GE Misha</t>
  </si>
  <si>
    <t>UZB</t>
  </si>
  <si>
    <t>TANAKA Keiji</t>
  </si>
  <si>
    <t>FENTZ Paul</t>
  </si>
  <si>
    <t>YAN Han</t>
  </si>
  <si>
    <t>YEE Julian Zhi Jie</t>
  </si>
  <si>
    <t>MAS</t>
  </si>
  <si>
    <t>BESSEGHIER Chafik</t>
  </si>
  <si>
    <t>TEN Denis</t>
  </si>
  <si>
    <t>MARTINEZ Michael Christian</t>
  </si>
  <si>
    <t>PHI</t>
  </si>
  <si>
    <t>MONTOYA Felipe</t>
  </si>
  <si>
    <t>PANIOT Yaroslav</t>
  </si>
  <si>
    <t>ZAGITOVA Alina</t>
  </si>
  <si>
    <t>MEDVEDEVA Evgenia</t>
  </si>
  <si>
    <t>OSMOND Kaetlyn</t>
  </si>
  <si>
    <t>MIYAHARA Satoko</t>
  </si>
  <si>
    <t>KOSTNER Carolina</t>
  </si>
  <si>
    <t>CHOI Dabin</t>
  </si>
  <si>
    <t>SOTSKOVA Maria</t>
  </si>
  <si>
    <t>TENNELL Bradie</t>
  </si>
  <si>
    <t>NAGASU Mirai</t>
  </si>
  <si>
    <t>TURSYNBAEVA Elizabet</t>
  </si>
  <si>
    <t>KIM Hanul</t>
  </si>
  <si>
    <t>RAJICOVA Nicole</t>
  </si>
  <si>
    <t>DALEMAN Gabrielle</t>
  </si>
  <si>
    <t>MEITE Mae Berenice</t>
  </si>
  <si>
    <t>PELTONEN Emmi</t>
  </si>
  <si>
    <t>LI Xiangning</t>
  </si>
  <si>
    <t>TOTH Ivett</t>
  </si>
  <si>
    <t>HUN</t>
  </si>
  <si>
    <t>WILLIAMS Isadora</t>
  </si>
  <si>
    <t>BRA</t>
  </si>
  <si>
    <t>AUSTMAN Larkyn</t>
  </si>
  <si>
    <t>NIKITINA Diana</t>
  </si>
  <si>
    <t>RUSSO Giada</t>
  </si>
  <si>
    <t>OESTLUND Anita</t>
  </si>
  <si>
    <t>KHNYCHENKOVA Anna</t>
  </si>
  <si>
    <t>MAMBEKOVA Aiza</t>
  </si>
  <si>
    <t>MACHIDA Tatsuki</t>
  </si>
  <si>
    <t>TAKAHASHI Daisuke</t>
  </si>
  <si>
    <t>LIEBERS Peter</t>
  </si>
  <si>
    <t>VERNER Tomas</t>
  </si>
  <si>
    <t>ABBOTT Jeremy</t>
  </si>
  <si>
    <t>JOUBERT Brian</t>
  </si>
  <si>
    <t>MAJOROV Alexander</t>
  </si>
  <si>
    <t>REYNOLDS Kevin</t>
  </si>
  <si>
    <t>AMODIO Florent</t>
  </si>
  <si>
    <t>GODOROZHA Yakov</t>
  </si>
  <si>
    <t>RAKIMGALIEV Abzal</t>
  </si>
  <si>
    <t>KELEMEN Zoltan</t>
  </si>
  <si>
    <t>ROMANENKOV Viktor</t>
  </si>
  <si>
    <t>RAYA Javier</t>
  </si>
  <si>
    <t>PFEIFER Viktor</t>
  </si>
  <si>
    <t>PARKINSON Paul Bonifacio</t>
  </si>
  <si>
    <t>FIRUS Liam</t>
  </si>
  <si>
    <t>PLYUSHCHENKO Evgeny</t>
  </si>
  <si>
    <t>RUS</t>
  </si>
  <si>
    <t>SOTNIKOVA Adelina</t>
  </si>
  <si>
    <t>KIM Yuna</t>
  </si>
  <si>
    <t>GOLD Gracie</t>
  </si>
  <si>
    <t>LIPNITSKAYA Yulia</t>
  </si>
  <si>
    <t>ASADA Mao</t>
  </si>
  <si>
    <t>WAGNER Ashley</t>
  </si>
  <si>
    <t>SUZUKI Akiko</t>
  </si>
  <si>
    <t>EDMUNDS Polina</t>
  </si>
  <si>
    <t>MARCHEI Valentina</t>
  </si>
  <si>
    <t>MURAKAMI Kanako</t>
  </si>
  <si>
    <t>LI Zijun</t>
  </si>
  <si>
    <t>ZHANG Kexin</t>
  </si>
  <si>
    <t>KIM Haejin</t>
  </si>
  <si>
    <t>WEINZIERL Nathalie</t>
  </si>
  <si>
    <t>GEDEVANISHVILI Elene</t>
  </si>
  <si>
    <t>HAN Brooklee</t>
  </si>
  <si>
    <t>PARK So Youn</t>
  </si>
  <si>
    <t>UKOLOVA Elizaveta</t>
  </si>
  <si>
    <t>GJERSEM Anne Line</t>
  </si>
  <si>
    <t>NOR</t>
  </si>
  <si>
    <t>McCORKELL Jenna</t>
  </si>
  <si>
    <t>FRANK Kerstin</t>
  </si>
  <si>
    <t>HELGESSON Viktoria</t>
  </si>
  <si>
    <t>POPOVA Natalia</t>
  </si>
  <si>
    <t>GLEBOVA Elena</t>
  </si>
  <si>
    <t>LYSACEK Evan</t>
  </si>
  <si>
    <t>PLUSHENKO Evgeni</t>
  </si>
  <si>
    <t>LAMBIEL Stephane</t>
  </si>
  <si>
    <t>WEIR Johnny</t>
  </si>
  <si>
    <t>ODA Nobunari</t>
  </si>
  <si>
    <t>KOZUKA Takahiko</t>
  </si>
  <si>
    <t>BORODULIN Artem</t>
  </si>
  <si>
    <t>SCHULTHEISS Adrian</t>
  </si>
  <si>
    <t>van der PERREN Kevin</t>
  </si>
  <si>
    <t>CONTESTI Samuel</t>
  </si>
  <si>
    <t>BACCHINI Paolo</t>
  </si>
  <si>
    <t>LINDEMANN Stefan</t>
  </si>
  <si>
    <t>CHIPEUR Vaughn</t>
  </si>
  <si>
    <t>KOVALEVSKI Anton</t>
  </si>
  <si>
    <t>RI Song Chol</t>
  </si>
  <si>
    <t>PRK</t>
  </si>
  <si>
    <t>URBAS Gregor</t>
  </si>
  <si>
    <t>SLO</t>
  </si>
  <si>
    <t>DOMANSKI Przemyslaw</t>
  </si>
  <si>
    <t>NURMENKARI Ari-Pekka</t>
  </si>
  <si>
    <t>KIM Yu-Na</t>
  </si>
  <si>
    <t>ROCHETTE Joannie</t>
  </si>
  <si>
    <t>ANDO Miki</t>
  </si>
  <si>
    <t>LEPISTO Laura</t>
  </si>
  <si>
    <t>FLATT Rachael</t>
  </si>
  <si>
    <t>LEONOVA Alena</t>
  </si>
  <si>
    <t>MAKAROVA Ksenia</t>
  </si>
  <si>
    <t>KORPI Kiira</t>
  </si>
  <si>
    <t>PHANEUF Cynthia</t>
  </si>
  <si>
    <t>KWAK Min-Jung</t>
  </si>
  <si>
    <t>MEIER Sarah</t>
  </si>
  <si>
    <t>SEBESTYEN Julia</t>
  </si>
  <si>
    <t>HECKEN Sarah</t>
  </si>
  <si>
    <t>LIU Yan</t>
  </si>
  <si>
    <t>LEE Cheltzie</t>
  </si>
  <si>
    <t>LAFUENTE Sonia</t>
  </si>
  <si>
    <t>GIMAZETDINOVA Anastasia</t>
  </si>
  <si>
    <t>KARADEMIR Tugba</t>
  </si>
  <si>
    <t>TUR</t>
  </si>
  <si>
    <t>PIEMAN Isabelle</t>
  </si>
  <si>
    <t>ZIEGLER Miriam</t>
  </si>
  <si>
    <t>POSTIC Teodora</t>
  </si>
  <si>
    <t>REITMAYEROVA Ivana</t>
  </si>
  <si>
    <t>JURKIEWICZ Anna</t>
  </si>
  <si>
    <t>   RUS</t>
  </si>
  <si>
    <t>   SUI</t>
  </si>
  <si>
    <t>BUTTLE Jeffrey</t>
  </si>
  <si>
    <t>   CAN</t>
  </si>
  <si>
    <t>   USA</t>
  </si>
  <si>
    <t>   FRA</t>
  </si>
  <si>
    <t>SAVOIE Matthew</t>
  </si>
  <si>
    <t>   JPN</t>
  </si>
  <si>
    <t>VAN DER PERREN Kevin</t>
  </si>
  <si>
    <t>   BEL</t>
  </si>
  <si>
    <t>ZHANG Min</t>
  </si>
  <si>
    <t>   CHN</t>
  </si>
  <si>
    <t>KLIMKIN Ilia</t>
  </si>
  <si>
    <t>SAWYER Shawn</t>
  </si>
  <si>
    <t>SANDHU Emanuel</t>
  </si>
  <si>
    <t>CHIPER Gheorghe</t>
  </si>
  <si>
    <t>   ROM</t>
  </si>
  <si>
    <t>DAVYDOV Sergei</t>
  </si>
  <si>
    <t>   BLR</t>
  </si>
  <si>
    <t>LI Chengjiang</t>
  </si>
  <si>
    <t>DINEV Ivan</t>
  </si>
  <si>
    <t>   BUL</t>
  </si>
  <si>
    <t>   CZE</t>
  </si>
  <si>
    <t>DAMBIER Frederic</t>
  </si>
  <si>
    <t>   UKR</t>
  </si>
  <si>
    <t>   GER</t>
  </si>
  <si>
    <t>   AUT</t>
  </si>
  <si>
    <t>BERNTSSON Kristoffer</t>
  </si>
  <si>
    <t>   SWE</t>
  </si>
  <si>
    <t>TOTH Zoltan</t>
  </si>
  <si>
    <t>   HUN</t>
  </si>
  <si>
    <t>ZELENKA Karel</t>
  </si>
  <si>
    <t>   ITA</t>
  </si>
  <si>
    <t>ZIVANOVIC Trifun</t>
  </si>
  <si>
    <t>   SCG</t>
  </si>
  <si>
    <t>OTHMAN Jamal</t>
  </si>
  <si>
    <t>MURVANIDZE Vakhtang</t>
  </si>
  <si>
    <t>   GEO</t>
  </si>
  <si>
    <t>   SLO</t>
  </si>
  <si>
    <t>HAN Jong In</t>
  </si>
  <si>
    <t>   PRK</t>
  </si>
  <si>
    <t>ARAKAWA Shizuka</t>
  </si>
  <si>
    <t>COHEN Sasha</t>
  </si>
  <si>
    <t>SLUTSKAYA Irina</t>
  </si>
  <si>
    <t>SUGURI Fumie</t>
  </si>
  <si>
    <t>MEISSNER Kimmie</t>
  </si>
  <si>
    <t>HUGHES Emily</t>
  </si>
  <si>
    <t>LEUNG Mira</t>
  </si>
  <si>
    <t>POYKIO Susanna</t>
  </si>
  <si>
    <t>   FIN</t>
  </si>
  <si>
    <t>SOKOLOVA Elena</t>
  </si>
  <si>
    <t>LIASHENKO Elena</t>
  </si>
  <si>
    <t>HEGEL Idora</t>
  </si>
  <si>
    <t>   CRO</t>
  </si>
  <si>
    <t>EFREMENKO Galina</t>
  </si>
  <si>
    <t>   TUR</t>
  </si>
  <si>
    <t>FONTANA Silvia</t>
  </si>
  <si>
    <t>PAVUK Viktoria</t>
  </si>
  <si>
    <t>MAXWELL Fleur</t>
  </si>
  <si>
    <t>   LUX</t>
  </si>
  <si>
    <t>CARTER Joanne</t>
  </si>
  <si>
    <t>   AUS</t>
  </si>
  <si>
    <t>LUCA Roxana</t>
  </si>
  <si>
    <t>KIM Yong Suk</t>
  </si>
  <si>
    <t>   EST</t>
  </si>
  <si>
    <t>   UZB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</si>
</sst>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0" fontId="2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8DCA-1F93-463B-89DF-CE1EC5371E88}">
  <dimension ref="A1:R358"/>
  <sheetViews>
    <sheetView tabSelected="1" workbookViewId="0">
      <selection activeCell="J20" sqref="J20"/>
    </sheetView>
  </sheetViews>
  <sheetFormatPr defaultRowHeight="14.25" x14ac:dyDescent="0.45"/>
  <cols>
    <col min="4" max="4" width="26.06640625" customWidth="1"/>
    <col min="17" max="17" width="14.19921875" style="3" customWidth="1"/>
  </cols>
  <sheetData>
    <row r="1" spans="1:18" s="1" customFormat="1" x14ac:dyDescent="0.4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68</v>
      </c>
      <c r="G1" s="1" t="s">
        <v>4</v>
      </c>
      <c r="H1" s="1" t="s">
        <v>5</v>
      </c>
      <c r="I1" s="1" t="s">
        <v>9</v>
      </c>
      <c r="J1" s="1" t="s">
        <v>7</v>
      </c>
      <c r="K1" s="1" t="s">
        <v>8</v>
      </c>
      <c r="L1" s="1" t="s">
        <v>12</v>
      </c>
      <c r="M1" s="1" t="s">
        <v>10</v>
      </c>
      <c r="N1" s="1" t="s">
        <v>11</v>
      </c>
      <c r="O1" s="1" t="s">
        <v>13</v>
      </c>
      <c r="P1" s="1" t="s">
        <v>14</v>
      </c>
      <c r="Q1" s="2" t="s">
        <v>15</v>
      </c>
      <c r="R1" s="1" t="s">
        <v>16</v>
      </c>
    </row>
    <row r="2" spans="1:18" x14ac:dyDescent="0.45">
      <c r="A2">
        <v>2026</v>
      </c>
      <c r="B2" t="s">
        <v>17</v>
      </c>
      <c r="C2">
        <v>1</v>
      </c>
      <c r="D2" t="s">
        <v>18</v>
      </c>
      <c r="E2" t="s">
        <v>19</v>
      </c>
      <c r="F2">
        <v>291.58</v>
      </c>
      <c r="G2">
        <v>5</v>
      </c>
      <c r="H2">
        <v>1</v>
      </c>
      <c r="I2">
        <v>92.94</v>
      </c>
      <c r="J2">
        <v>52.45</v>
      </c>
      <c r="K2">
        <v>40.49</v>
      </c>
      <c r="L2">
        <v>198.64</v>
      </c>
      <c r="M2">
        <v>114.68</v>
      </c>
      <c r="N2">
        <v>83.96</v>
      </c>
      <c r="O2">
        <f>J2+M2</f>
        <v>167.13</v>
      </c>
      <c r="P2">
        <f>K2+N2</f>
        <v>124.44999999999999</v>
      </c>
      <c r="Q2" s="3">
        <f>IF(O2+P2=0,"",O2/(O2+P2))</f>
        <v>0.57318746141710686</v>
      </c>
      <c r="R2">
        <v>1</v>
      </c>
    </row>
    <row r="3" spans="1:18" x14ac:dyDescent="0.45">
      <c r="A3">
        <v>2026</v>
      </c>
      <c r="B3" t="s">
        <v>17</v>
      </c>
      <c r="C3">
        <v>2</v>
      </c>
      <c r="D3" t="s">
        <v>20</v>
      </c>
      <c r="E3" t="s">
        <v>21</v>
      </c>
      <c r="F3">
        <v>280.06</v>
      </c>
      <c r="G3">
        <v>2</v>
      </c>
      <c r="H3">
        <v>6</v>
      </c>
      <c r="I3">
        <v>103.07</v>
      </c>
      <c r="J3">
        <v>56.5</v>
      </c>
      <c r="K3">
        <v>46.57</v>
      </c>
      <c r="L3">
        <v>176.99</v>
      </c>
      <c r="M3">
        <v>92.15</v>
      </c>
      <c r="N3">
        <v>85.84</v>
      </c>
      <c r="O3">
        <f t="shared" ref="O3:O66" si="0">J3+M3</f>
        <v>148.65</v>
      </c>
      <c r="P3">
        <f t="shared" ref="P3:P66" si="1">K3+N3</f>
        <v>132.41</v>
      </c>
      <c r="Q3" s="3">
        <f t="shared" ref="Q3:Q66" si="2">IF(O3+P3=0,"",O3/(O3+P3))</f>
        <v>0.52889062833558675</v>
      </c>
      <c r="R3">
        <v>2</v>
      </c>
    </row>
    <row r="4" spans="1:18" x14ac:dyDescent="0.45">
      <c r="A4">
        <v>2026</v>
      </c>
      <c r="B4" t="s">
        <v>17</v>
      </c>
      <c r="C4">
        <v>3</v>
      </c>
      <c r="D4" t="s">
        <v>22</v>
      </c>
      <c r="E4" t="s">
        <v>21</v>
      </c>
      <c r="F4">
        <v>274.89999999999998</v>
      </c>
      <c r="G4">
        <v>9</v>
      </c>
      <c r="H4">
        <v>3</v>
      </c>
      <c r="I4">
        <v>88.7</v>
      </c>
      <c r="J4">
        <v>46.77</v>
      </c>
      <c r="K4">
        <v>41.93</v>
      </c>
      <c r="L4">
        <v>186.2</v>
      </c>
      <c r="M4">
        <v>101.85</v>
      </c>
      <c r="N4">
        <v>84.35</v>
      </c>
      <c r="O4">
        <f t="shared" si="0"/>
        <v>148.62</v>
      </c>
      <c r="P4">
        <f t="shared" si="1"/>
        <v>126.28</v>
      </c>
      <c r="Q4" s="3">
        <f t="shared" si="2"/>
        <v>0.54063295743906881</v>
      </c>
      <c r="R4">
        <v>3</v>
      </c>
    </row>
    <row r="5" spans="1:18" x14ac:dyDescent="0.45">
      <c r="A5">
        <v>2026</v>
      </c>
      <c r="B5" t="s">
        <v>17</v>
      </c>
      <c r="C5">
        <v>4</v>
      </c>
      <c r="D5" t="s">
        <v>23</v>
      </c>
      <c r="E5" t="s">
        <v>24</v>
      </c>
      <c r="F5">
        <v>273.92</v>
      </c>
      <c r="G5">
        <v>6</v>
      </c>
      <c r="H5">
        <v>5</v>
      </c>
      <c r="I5">
        <v>92.72</v>
      </c>
      <c r="J5">
        <v>50.08</v>
      </c>
      <c r="K5">
        <v>42.64</v>
      </c>
      <c r="L5">
        <v>181.2</v>
      </c>
      <c r="M5">
        <v>95.16</v>
      </c>
      <c r="N5">
        <v>87.04</v>
      </c>
      <c r="O5">
        <f t="shared" si="0"/>
        <v>145.24</v>
      </c>
      <c r="P5">
        <f t="shared" si="1"/>
        <v>129.68</v>
      </c>
      <c r="Q5" s="3">
        <f t="shared" si="2"/>
        <v>0.52829914156845625</v>
      </c>
      <c r="R5">
        <v>0</v>
      </c>
    </row>
    <row r="6" spans="1:18" x14ac:dyDescent="0.45">
      <c r="A6">
        <v>2026</v>
      </c>
      <c r="B6" t="s">
        <v>17</v>
      </c>
      <c r="C6">
        <v>5</v>
      </c>
      <c r="D6" t="s">
        <v>25</v>
      </c>
      <c r="E6" t="s">
        <v>26</v>
      </c>
      <c r="F6">
        <v>273.77999999999997</v>
      </c>
      <c r="G6">
        <v>10</v>
      </c>
      <c r="H6">
        <v>2</v>
      </c>
      <c r="I6">
        <v>87.41</v>
      </c>
      <c r="J6">
        <v>48.23</v>
      </c>
      <c r="K6">
        <v>39.18</v>
      </c>
      <c r="L6">
        <v>186.37</v>
      </c>
      <c r="M6">
        <v>103.22</v>
      </c>
      <c r="N6">
        <v>83.15</v>
      </c>
      <c r="O6">
        <f t="shared" si="0"/>
        <v>151.44999999999999</v>
      </c>
      <c r="P6">
        <f t="shared" si="1"/>
        <v>122.33000000000001</v>
      </c>
      <c r="Q6" s="3">
        <f t="shared" si="2"/>
        <v>0.55318138651471982</v>
      </c>
      <c r="R6">
        <v>0</v>
      </c>
    </row>
    <row r="7" spans="1:18" x14ac:dyDescent="0.45">
      <c r="A7">
        <v>2026</v>
      </c>
      <c r="B7" t="s">
        <v>17</v>
      </c>
      <c r="C7">
        <v>6</v>
      </c>
      <c r="D7" t="s">
        <v>27</v>
      </c>
      <c r="E7" t="s">
        <v>28</v>
      </c>
      <c r="F7">
        <v>271.20999999999998</v>
      </c>
      <c r="G7">
        <v>12</v>
      </c>
      <c r="H7">
        <v>4</v>
      </c>
      <c r="I7">
        <v>86.72</v>
      </c>
      <c r="J7">
        <v>48.43</v>
      </c>
      <c r="K7">
        <v>38.29</v>
      </c>
      <c r="L7">
        <v>184.49</v>
      </c>
      <c r="M7">
        <v>103.84</v>
      </c>
      <c r="N7">
        <v>80.650000000000006</v>
      </c>
      <c r="O7">
        <f t="shared" si="0"/>
        <v>152.27000000000001</v>
      </c>
      <c r="P7">
        <f t="shared" si="1"/>
        <v>118.94</v>
      </c>
      <c r="Q7" s="3">
        <f t="shared" si="2"/>
        <v>0.56144684930496658</v>
      </c>
      <c r="R7">
        <v>0</v>
      </c>
    </row>
    <row r="8" spans="1:18" x14ac:dyDescent="0.45">
      <c r="A8">
        <v>2026</v>
      </c>
      <c r="B8" t="s">
        <v>17</v>
      </c>
      <c r="C8">
        <v>7</v>
      </c>
      <c r="D8" t="s">
        <v>29</v>
      </c>
      <c r="E8" t="s">
        <v>30</v>
      </c>
      <c r="F8">
        <v>269.27</v>
      </c>
      <c r="G8">
        <v>3</v>
      </c>
      <c r="H8">
        <v>12</v>
      </c>
      <c r="I8">
        <v>102.55</v>
      </c>
      <c r="J8">
        <v>57.27</v>
      </c>
      <c r="K8">
        <v>45.28</v>
      </c>
      <c r="L8">
        <v>166.72</v>
      </c>
      <c r="M8">
        <v>84.97</v>
      </c>
      <c r="N8">
        <v>82.75</v>
      </c>
      <c r="O8">
        <f t="shared" si="0"/>
        <v>142.24</v>
      </c>
      <c r="P8">
        <f t="shared" si="1"/>
        <v>128.03</v>
      </c>
      <c r="Q8" s="3">
        <f t="shared" si="2"/>
        <v>0.5262885262885264</v>
      </c>
      <c r="R8">
        <v>0</v>
      </c>
    </row>
    <row r="9" spans="1:18" x14ac:dyDescent="0.45">
      <c r="A9">
        <v>2026</v>
      </c>
      <c r="B9" t="s">
        <v>17</v>
      </c>
      <c r="C9">
        <v>8</v>
      </c>
      <c r="D9" t="s">
        <v>31</v>
      </c>
      <c r="E9" t="s">
        <v>32</v>
      </c>
      <c r="F9">
        <v>264.49</v>
      </c>
      <c r="G9">
        <v>1</v>
      </c>
      <c r="H9">
        <v>15</v>
      </c>
      <c r="I9">
        <v>108.16</v>
      </c>
      <c r="J9">
        <v>62.35</v>
      </c>
      <c r="K9">
        <v>45.81</v>
      </c>
      <c r="L9">
        <v>156.33000000000001</v>
      </c>
      <c r="M9">
        <v>76.61</v>
      </c>
      <c r="N9">
        <v>81.72</v>
      </c>
      <c r="O9">
        <f t="shared" si="0"/>
        <v>138.96</v>
      </c>
      <c r="P9">
        <f t="shared" si="1"/>
        <v>127.53</v>
      </c>
      <c r="Q9" s="3">
        <f t="shared" si="2"/>
        <v>0.5214454576156704</v>
      </c>
      <c r="R9">
        <v>0</v>
      </c>
    </row>
    <row r="10" spans="1:18" x14ac:dyDescent="0.45">
      <c r="A10">
        <v>2026</v>
      </c>
      <c r="B10" t="s">
        <v>17</v>
      </c>
      <c r="C10">
        <v>9</v>
      </c>
      <c r="D10" t="s">
        <v>33</v>
      </c>
      <c r="E10" t="s">
        <v>34</v>
      </c>
      <c r="F10">
        <v>263.70999999999998</v>
      </c>
      <c r="G10">
        <v>4</v>
      </c>
      <c r="H10">
        <v>8</v>
      </c>
      <c r="I10">
        <v>93.46</v>
      </c>
      <c r="J10">
        <v>52.73</v>
      </c>
      <c r="K10">
        <v>40.729999999999997</v>
      </c>
      <c r="L10">
        <v>170.25</v>
      </c>
      <c r="M10">
        <v>88.79</v>
      </c>
      <c r="N10">
        <v>81.459999999999994</v>
      </c>
      <c r="O10">
        <f t="shared" si="0"/>
        <v>141.52000000000001</v>
      </c>
      <c r="P10">
        <f t="shared" si="1"/>
        <v>122.19</v>
      </c>
      <c r="Q10" s="3">
        <f t="shared" si="2"/>
        <v>0.5366501080732623</v>
      </c>
      <c r="R10">
        <v>0</v>
      </c>
    </row>
    <row r="11" spans="1:18" x14ac:dyDescent="0.45">
      <c r="A11">
        <v>2026</v>
      </c>
      <c r="B11" t="s">
        <v>17</v>
      </c>
      <c r="C11">
        <v>10</v>
      </c>
      <c r="D11" t="s">
        <v>35</v>
      </c>
      <c r="E11" t="s">
        <v>36</v>
      </c>
      <c r="F11">
        <v>260.27</v>
      </c>
      <c r="G11">
        <v>15</v>
      </c>
      <c r="H11">
        <v>7</v>
      </c>
      <c r="I11">
        <v>85.11</v>
      </c>
      <c r="J11">
        <v>45.85</v>
      </c>
      <c r="K11">
        <v>39.26</v>
      </c>
      <c r="L11">
        <v>175.16</v>
      </c>
      <c r="M11">
        <v>96.23</v>
      </c>
      <c r="N11">
        <v>79.930000000000007</v>
      </c>
      <c r="O11">
        <f t="shared" si="0"/>
        <v>142.08000000000001</v>
      </c>
      <c r="P11">
        <f t="shared" si="1"/>
        <v>119.19</v>
      </c>
      <c r="Q11" s="3">
        <f t="shared" si="2"/>
        <v>0.54380525892754628</v>
      </c>
      <c r="R11">
        <v>0</v>
      </c>
    </row>
    <row r="12" spans="1:18" x14ac:dyDescent="0.45">
      <c r="A12">
        <v>2026</v>
      </c>
      <c r="B12" t="s">
        <v>17</v>
      </c>
      <c r="C12">
        <v>11</v>
      </c>
      <c r="D12" t="s">
        <v>37</v>
      </c>
      <c r="E12" t="s">
        <v>30</v>
      </c>
      <c r="F12">
        <v>259.94</v>
      </c>
      <c r="G12">
        <v>7</v>
      </c>
      <c r="H12">
        <v>11</v>
      </c>
      <c r="I12">
        <v>92.64</v>
      </c>
      <c r="J12">
        <v>48.55</v>
      </c>
      <c r="K12">
        <v>44.09</v>
      </c>
      <c r="L12">
        <v>167.3</v>
      </c>
      <c r="M12">
        <v>81.45</v>
      </c>
      <c r="N12">
        <v>85.85</v>
      </c>
      <c r="O12">
        <f t="shared" si="0"/>
        <v>130</v>
      </c>
      <c r="P12">
        <f t="shared" si="1"/>
        <v>129.94</v>
      </c>
      <c r="Q12" s="3">
        <f t="shared" si="2"/>
        <v>0.5001154112487497</v>
      </c>
      <c r="R12">
        <v>0</v>
      </c>
    </row>
    <row r="13" spans="1:18" x14ac:dyDescent="0.45">
      <c r="A13">
        <v>2026</v>
      </c>
      <c r="B13" t="s">
        <v>17</v>
      </c>
      <c r="C13">
        <v>12</v>
      </c>
      <c r="D13" t="s">
        <v>38</v>
      </c>
      <c r="E13" t="s">
        <v>32</v>
      </c>
      <c r="F13">
        <v>259.06</v>
      </c>
      <c r="G13">
        <v>8</v>
      </c>
      <c r="H13">
        <v>9</v>
      </c>
      <c r="I13">
        <v>88.94</v>
      </c>
      <c r="J13">
        <v>48.56</v>
      </c>
      <c r="K13">
        <v>40.380000000000003</v>
      </c>
      <c r="L13">
        <v>170.12</v>
      </c>
      <c r="M13">
        <v>86.16</v>
      </c>
      <c r="N13">
        <v>83.96</v>
      </c>
      <c r="O13">
        <f t="shared" si="0"/>
        <v>134.72</v>
      </c>
      <c r="P13">
        <f t="shared" si="1"/>
        <v>124.34</v>
      </c>
      <c r="Q13" s="3">
        <f t="shared" si="2"/>
        <v>0.52003396896471854</v>
      </c>
      <c r="R13">
        <v>0</v>
      </c>
    </row>
    <row r="14" spans="1:18" x14ac:dyDescent="0.45">
      <c r="A14">
        <v>2026</v>
      </c>
      <c r="B14" t="s">
        <v>17</v>
      </c>
      <c r="C14">
        <v>13</v>
      </c>
      <c r="D14" t="s">
        <v>39</v>
      </c>
      <c r="E14" t="s">
        <v>21</v>
      </c>
      <c r="F14">
        <v>246.88</v>
      </c>
      <c r="G14">
        <v>22</v>
      </c>
      <c r="H14">
        <v>10</v>
      </c>
      <c r="I14">
        <v>76.77</v>
      </c>
      <c r="J14">
        <v>37.44</v>
      </c>
      <c r="K14">
        <v>40.33</v>
      </c>
      <c r="L14">
        <v>170.11</v>
      </c>
      <c r="M14">
        <v>92.72</v>
      </c>
      <c r="N14">
        <v>78.39</v>
      </c>
      <c r="O14">
        <f t="shared" si="0"/>
        <v>130.16</v>
      </c>
      <c r="P14">
        <f t="shared" si="1"/>
        <v>118.72</v>
      </c>
      <c r="Q14" s="3">
        <f t="shared" si="2"/>
        <v>0.52298296367727415</v>
      </c>
      <c r="R14">
        <v>0</v>
      </c>
    </row>
    <row r="15" spans="1:18" x14ac:dyDescent="0.45">
      <c r="A15">
        <v>2026</v>
      </c>
      <c r="B15" t="s">
        <v>17</v>
      </c>
      <c r="C15">
        <v>14</v>
      </c>
      <c r="D15" t="s">
        <v>40</v>
      </c>
      <c r="E15" t="s">
        <v>41</v>
      </c>
      <c r="F15">
        <v>246.64</v>
      </c>
      <c r="G15">
        <v>19</v>
      </c>
      <c r="H15">
        <v>13</v>
      </c>
      <c r="I15">
        <v>80.87</v>
      </c>
      <c r="J15">
        <v>40.61</v>
      </c>
      <c r="K15">
        <v>40.26</v>
      </c>
      <c r="L15">
        <v>165.77</v>
      </c>
      <c r="M15">
        <v>85.01</v>
      </c>
      <c r="N15">
        <v>80.760000000000005</v>
      </c>
      <c r="O15">
        <f t="shared" si="0"/>
        <v>125.62</v>
      </c>
      <c r="P15">
        <f t="shared" si="1"/>
        <v>121.02000000000001</v>
      </c>
      <c r="Q15" s="3">
        <f t="shared" si="2"/>
        <v>0.50932533246837497</v>
      </c>
      <c r="R15">
        <v>0</v>
      </c>
    </row>
    <row r="16" spans="1:18" x14ac:dyDescent="0.45">
      <c r="A16">
        <v>2026</v>
      </c>
      <c r="B16" t="s">
        <v>17</v>
      </c>
      <c r="C16">
        <v>15</v>
      </c>
      <c r="D16" t="s">
        <v>42</v>
      </c>
      <c r="E16" t="s">
        <v>34</v>
      </c>
      <c r="F16">
        <v>243.18</v>
      </c>
      <c r="G16">
        <v>16</v>
      </c>
      <c r="H16">
        <v>14</v>
      </c>
      <c r="I16">
        <v>84.3</v>
      </c>
      <c r="J16">
        <v>42.49</v>
      </c>
      <c r="K16">
        <v>41.81</v>
      </c>
      <c r="L16">
        <v>158.88</v>
      </c>
      <c r="M16">
        <v>76.319999999999993</v>
      </c>
      <c r="N16">
        <v>82.56</v>
      </c>
      <c r="O16">
        <f t="shared" si="0"/>
        <v>118.81</v>
      </c>
      <c r="P16">
        <f t="shared" si="1"/>
        <v>124.37</v>
      </c>
      <c r="Q16" s="3">
        <f t="shared" si="2"/>
        <v>0.48856813882720618</v>
      </c>
      <c r="R16">
        <v>0</v>
      </c>
    </row>
    <row r="17" spans="1:18" x14ac:dyDescent="0.45">
      <c r="A17">
        <v>2026</v>
      </c>
      <c r="B17" t="s">
        <v>17</v>
      </c>
      <c r="C17">
        <v>16</v>
      </c>
      <c r="D17" t="s">
        <v>43</v>
      </c>
      <c r="E17" t="s">
        <v>44</v>
      </c>
      <c r="F17">
        <v>236.82</v>
      </c>
      <c r="G17">
        <v>18</v>
      </c>
      <c r="H17">
        <v>16</v>
      </c>
      <c r="I17">
        <v>82.02</v>
      </c>
      <c r="J17">
        <v>41.33</v>
      </c>
      <c r="K17">
        <v>41.69</v>
      </c>
      <c r="L17">
        <v>154.80000000000001</v>
      </c>
      <c r="M17">
        <v>77.05</v>
      </c>
      <c r="N17">
        <v>77.75</v>
      </c>
      <c r="O17">
        <f t="shared" si="0"/>
        <v>118.38</v>
      </c>
      <c r="P17">
        <f t="shared" si="1"/>
        <v>119.44</v>
      </c>
      <c r="Q17" s="3">
        <f t="shared" si="2"/>
        <v>0.49777142376587336</v>
      </c>
      <c r="R17">
        <v>0</v>
      </c>
    </row>
    <row r="18" spans="1:18" x14ac:dyDescent="0.45">
      <c r="A18">
        <v>2026</v>
      </c>
      <c r="B18" t="s">
        <v>17</v>
      </c>
      <c r="C18">
        <v>17</v>
      </c>
      <c r="D18" t="s">
        <v>45</v>
      </c>
      <c r="E18" t="s">
        <v>46</v>
      </c>
      <c r="F18">
        <v>229.08</v>
      </c>
      <c r="G18">
        <v>13</v>
      </c>
      <c r="H18">
        <v>20</v>
      </c>
      <c r="I18">
        <v>86.55</v>
      </c>
      <c r="J18">
        <v>47.79</v>
      </c>
      <c r="K18">
        <v>38.76</v>
      </c>
      <c r="L18">
        <v>142.53</v>
      </c>
      <c r="M18">
        <v>70.87</v>
      </c>
      <c r="N18">
        <v>72.66</v>
      </c>
      <c r="O18">
        <f t="shared" si="0"/>
        <v>118.66</v>
      </c>
      <c r="P18">
        <f t="shared" si="1"/>
        <v>111.41999999999999</v>
      </c>
      <c r="Q18" s="3">
        <f t="shared" si="2"/>
        <v>0.5157336578581363</v>
      </c>
      <c r="R18">
        <v>0</v>
      </c>
    </row>
    <row r="19" spans="1:18" x14ac:dyDescent="0.45">
      <c r="A19">
        <v>2026</v>
      </c>
      <c r="B19" t="s">
        <v>17</v>
      </c>
      <c r="C19">
        <v>18</v>
      </c>
      <c r="D19" t="s">
        <v>47</v>
      </c>
      <c r="E19" t="s">
        <v>48</v>
      </c>
      <c r="F19">
        <v>226.46</v>
      </c>
      <c r="G19">
        <v>17</v>
      </c>
      <c r="H19">
        <v>18</v>
      </c>
      <c r="I19">
        <v>82.44</v>
      </c>
      <c r="J19">
        <v>42.34</v>
      </c>
      <c r="K19">
        <v>40.1</v>
      </c>
      <c r="L19">
        <v>144.02000000000001</v>
      </c>
      <c r="M19">
        <v>67.069999999999993</v>
      </c>
      <c r="N19">
        <v>76.95</v>
      </c>
      <c r="O19">
        <f t="shared" si="0"/>
        <v>109.41</v>
      </c>
      <c r="P19">
        <f t="shared" si="1"/>
        <v>117.05000000000001</v>
      </c>
      <c r="Q19" s="3">
        <f t="shared" si="2"/>
        <v>0.48313167888368802</v>
      </c>
      <c r="R19">
        <v>0</v>
      </c>
    </row>
    <row r="20" spans="1:18" x14ac:dyDescent="0.45">
      <c r="A20">
        <v>2026</v>
      </c>
      <c r="B20" t="s">
        <v>17</v>
      </c>
      <c r="C20">
        <v>19</v>
      </c>
      <c r="D20" t="s">
        <v>49</v>
      </c>
      <c r="E20" t="s">
        <v>50</v>
      </c>
      <c r="F20">
        <v>224.17</v>
      </c>
      <c r="G20">
        <v>11</v>
      </c>
      <c r="H20">
        <v>23</v>
      </c>
      <c r="I20">
        <v>86.89</v>
      </c>
      <c r="J20">
        <v>49.2</v>
      </c>
      <c r="K20">
        <v>37.69</v>
      </c>
      <c r="L20">
        <v>137.28</v>
      </c>
      <c r="M20">
        <v>64.92</v>
      </c>
      <c r="N20">
        <v>73.36</v>
      </c>
      <c r="O20">
        <f t="shared" si="0"/>
        <v>114.12</v>
      </c>
      <c r="P20">
        <f t="shared" si="1"/>
        <v>111.05</v>
      </c>
      <c r="Q20" s="3">
        <f t="shared" si="2"/>
        <v>0.50681707154594302</v>
      </c>
      <c r="R20">
        <v>0</v>
      </c>
    </row>
    <row r="21" spans="1:18" x14ac:dyDescent="0.45">
      <c r="A21">
        <v>2026</v>
      </c>
      <c r="B21" t="s">
        <v>17</v>
      </c>
      <c r="C21">
        <v>20</v>
      </c>
      <c r="D21" t="s">
        <v>51</v>
      </c>
      <c r="E21" t="s">
        <v>32</v>
      </c>
      <c r="F21">
        <v>223.36</v>
      </c>
      <c r="G21">
        <v>14</v>
      </c>
      <c r="H21">
        <v>22</v>
      </c>
      <c r="I21">
        <v>85.65</v>
      </c>
      <c r="J21">
        <v>47.77</v>
      </c>
      <c r="K21">
        <v>37.880000000000003</v>
      </c>
      <c r="L21">
        <v>137.71</v>
      </c>
      <c r="M21">
        <v>64.66</v>
      </c>
      <c r="N21">
        <v>75.05</v>
      </c>
      <c r="O21">
        <f t="shared" si="0"/>
        <v>112.43</v>
      </c>
      <c r="P21">
        <f t="shared" si="1"/>
        <v>112.93</v>
      </c>
      <c r="Q21" s="3">
        <f t="shared" si="2"/>
        <v>0.49889066382676606</v>
      </c>
      <c r="R21">
        <v>0</v>
      </c>
    </row>
    <row r="22" spans="1:18" x14ac:dyDescent="0.45">
      <c r="A22">
        <v>2026</v>
      </c>
      <c r="B22" t="s">
        <v>17</v>
      </c>
      <c r="C22">
        <v>21</v>
      </c>
      <c r="D22" t="s">
        <v>52</v>
      </c>
      <c r="E22" t="s">
        <v>53</v>
      </c>
      <c r="F22">
        <v>222.25</v>
      </c>
      <c r="G22">
        <v>21</v>
      </c>
      <c r="H22">
        <v>17</v>
      </c>
      <c r="I22">
        <v>77.569999999999993</v>
      </c>
      <c r="J22">
        <v>40.880000000000003</v>
      </c>
      <c r="K22">
        <v>36.69</v>
      </c>
      <c r="L22">
        <v>144.68</v>
      </c>
      <c r="M22">
        <v>72.650000000000006</v>
      </c>
      <c r="N22">
        <v>73.03</v>
      </c>
      <c r="O22">
        <f t="shared" si="0"/>
        <v>113.53</v>
      </c>
      <c r="P22">
        <f t="shared" si="1"/>
        <v>109.72</v>
      </c>
      <c r="Q22" s="3">
        <f t="shared" si="2"/>
        <v>0.50853303471444566</v>
      </c>
      <c r="R22">
        <v>0</v>
      </c>
    </row>
    <row r="23" spans="1:18" x14ac:dyDescent="0.45">
      <c r="A23">
        <v>2026</v>
      </c>
      <c r="B23" t="s">
        <v>17</v>
      </c>
      <c r="C23">
        <v>22</v>
      </c>
      <c r="D23" t="s">
        <v>54</v>
      </c>
      <c r="E23" t="s">
        <v>55</v>
      </c>
      <c r="F23">
        <v>219.06</v>
      </c>
      <c r="G23">
        <v>23</v>
      </c>
      <c r="H23">
        <v>19</v>
      </c>
      <c r="I23">
        <v>75.56</v>
      </c>
      <c r="J23">
        <v>39.71</v>
      </c>
      <c r="K23">
        <v>36.85</v>
      </c>
      <c r="L23">
        <v>143.5</v>
      </c>
      <c r="M23">
        <v>71.56</v>
      </c>
      <c r="N23">
        <v>71.94</v>
      </c>
      <c r="O23">
        <f t="shared" si="0"/>
        <v>111.27000000000001</v>
      </c>
      <c r="P23">
        <f t="shared" si="1"/>
        <v>108.78999999999999</v>
      </c>
      <c r="Q23" s="3">
        <f t="shared" si="2"/>
        <v>0.5056348268654004</v>
      </c>
      <c r="R23">
        <v>0</v>
      </c>
    </row>
    <row r="24" spans="1:18" x14ac:dyDescent="0.45">
      <c r="A24">
        <v>2026</v>
      </c>
      <c r="B24" t="s">
        <v>17</v>
      </c>
      <c r="C24">
        <v>23</v>
      </c>
      <c r="D24" t="s">
        <v>56</v>
      </c>
      <c r="E24" t="s">
        <v>57</v>
      </c>
      <c r="F24">
        <v>214.33</v>
      </c>
      <c r="G24">
        <v>24</v>
      </c>
      <c r="H24">
        <v>21</v>
      </c>
      <c r="I24">
        <v>72.41</v>
      </c>
      <c r="J24">
        <v>39.840000000000003</v>
      </c>
      <c r="K24">
        <v>32.57</v>
      </c>
      <c r="L24">
        <v>141.91999999999999</v>
      </c>
      <c r="M24">
        <v>77.25</v>
      </c>
      <c r="N24">
        <v>64.67</v>
      </c>
      <c r="O24">
        <f t="shared" si="0"/>
        <v>117.09</v>
      </c>
      <c r="P24">
        <f t="shared" si="1"/>
        <v>97.240000000000009</v>
      </c>
      <c r="Q24" s="3">
        <f t="shared" si="2"/>
        <v>0.54630709653338305</v>
      </c>
      <c r="R24">
        <v>0</v>
      </c>
    </row>
    <row r="25" spans="1:18" x14ac:dyDescent="0.45">
      <c r="A25">
        <v>2026</v>
      </c>
      <c r="B25" t="s">
        <v>17</v>
      </c>
      <c r="C25">
        <v>24</v>
      </c>
      <c r="D25" t="s">
        <v>58</v>
      </c>
      <c r="E25" t="s">
        <v>59</v>
      </c>
      <c r="F25">
        <v>202.38</v>
      </c>
      <c r="G25">
        <v>20</v>
      </c>
      <c r="H25">
        <v>24</v>
      </c>
      <c r="I25">
        <v>80.3</v>
      </c>
      <c r="J25">
        <v>45.17</v>
      </c>
      <c r="K25">
        <v>35.130000000000003</v>
      </c>
      <c r="L25">
        <v>122.08</v>
      </c>
      <c r="M25">
        <v>61.91</v>
      </c>
      <c r="N25">
        <v>62.17</v>
      </c>
      <c r="O25">
        <f t="shared" si="0"/>
        <v>107.08</v>
      </c>
      <c r="P25">
        <f t="shared" si="1"/>
        <v>97.300000000000011</v>
      </c>
      <c r="Q25" s="3">
        <f t="shared" si="2"/>
        <v>0.52392602015852818</v>
      </c>
      <c r="R25">
        <v>0</v>
      </c>
    </row>
    <row r="26" spans="1:18" x14ac:dyDescent="0.45">
      <c r="A26">
        <v>2026</v>
      </c>
      <c r="B26" t="s">
        <v>17</v>
      </c>
      <c r="C26" t="s">
        <v>69</v>
      </c>
      <c r="D26" t="s">
        <v>60</v>
      </c>
      <c r="E26" t="s">
        <v>61</v>
      </c>
      <c r="F26">
        <v>69.8</v>
      </c>
      <c r="G26">
        <v>25</v>
      </c>
      <c r="H26">
        <v>0</v>
      </c>
      <c r="I26">
        <v>69.8</v>
      </c>
      <c r="J26">
        <v>34.25</v>
      </c>
      <c r="K26">
        <v>35.549999999999997</v>
      </c>
      <c r="L26">
        <v>0</v>
      </c>
      <c r="M26">
        <v>0</v>
      </c>
      <c r="N26">
        <v>0</v>
      </c>
      <c r="O26">
        <f>J26+M26</f>
        <v>34.25</v>
      </c>
      <c r="P26">
        <f t="shared" si="1"/>
        <v>35.549999999999997</v>
      </c>
      <c r="Q26" s="3">
        <f t="shared" si="2"/>
        <v>0.49068767908309457</v>
      </c>
      <c r="R26">
        <v>0</v>
      </c>
    </row>
    <row r="27" spans="1:18" x14ac:dyDescent="0.45">
      <c r="A27">
        <v>2026</v>
      </c>
      <c r="B27" t="s">
        <v>17</v>
      </c>
      <c r="C27" t="s">
        <v>69</v>
      </c>
      <c r="D27" t="s">
        <v>62</v>
      </c>
      <c r="E27" t="s">
        <v>24</v>
      </c>
      <c r="F27">
        <v>69.3</v>
      </c>
      <c r="G27">
        <v>26</v>
      </c>
      <c r="H27">
        <v>0</v>
      </c>
      <c r="I27">
        <v>69.3</v>
      </c>
      <c r="J27">
        <v>37.92</v>
      </c>
      <c r="K27">
        <v>32.380000000000003</v>
      </c>
      <c r="L27">
        <v>0</v>
      </c>
      <c r="M27">
        <v>0</v>
      </c>
      <c r="N27">
        <v>0</v>
      </c>
      <c r="O27">
        <f t="shared" si="0"/>
        <v>37.92</v>
      </c>
      <c r="P27">
        <f t="shared" si="1"/>
        <v>32.380000000000003</v>
      </c>
      <c r="Q27" s="3">
        <f t="shared" si="2"/>
        <v>0.53940256045519197</v>
      </c>
      <c r="R27">
        <v>0</v>
      </c>
    </row>
    <row r="28" spans="1:18" x14ac:dyDescent="0.45">
      <c r="A28">
        <v>2026</v>
      </c>
      <c r="B28" t="s">
        <v>17</v>
      </c>
      <c r="C28" t="s">
        <v>69</v>
      </c>
      <c r="D28" t="s">
        <v>63</v>
      </c>
      <c r="E28" t="s">
        <v>64</v>
      </c>
      <c r="F28">
        <v>67.150000000000006</v>
      </c>
      <c r="G28">
        <v>27</v>
      </c>
      <c r="H28">
        <v>0</v>
      </c>
      <c r="I28">
        <v>67.150000000000006</v>
      </c>
      <c r="J28">
        <v>31.45</v>
      </c>
      <c r="K28">
        <v>35.700000000000003</v>
      </c>
      <c r="L28">
        <v>0</v>
      </c>
      <c r="M28">
        <v>0</v>
      </c>
      <c r="N28">
        <v>0</v>
      </c>
      <c r="O28">
        <f t="shared" si="0"/>
        <v>31.45</v>
      </c>
      <c r="P28">
        <f t="shared" si="1"/>
        <v>35.700000000000003</v>
      </c>
      <c r="Q28" s="3">
        <f t="shared" si="2"/>
        <v>0.46835443037974678</v>
      </c>
      <c r="R28">
        <v>0</v>
      </c>
    </row>
    <row r="29" spans="1:18" x14ac:dyDescent="0.45">
      <c r="A29">
        <v>2026</v>
      </c>
      <c r="B29" t="s">
        <v>17</v>
      </c>
      <c r="C29" t="s">
        <v>69</v>
      </c>
      <c r="D29" t="s">
        <v>65</v>
      </c>
      <c r="E29" t="s">
        <v>48</v>
      </c>
      <c r="F29">
        <v>66.86</v>
      </c>
      <c r="G29">
        <v>28</v>
      </c>
      <c r="H29">
        <v>0</v>
      </c>
      <c r="I29">
        <v>66.86</v>
      </c>
      <c r="J29">
        <v>35.83</v>
      </c>
      <c r="K29">
        <v>32.03</v>
      </c>
      <c r="L29">
        <v>0</v>
      </c>
      <c r="M29">
        <v>0</v>
      </c>
      <c r="N29">
        <v>0</v>
      </c>
      <c r="O29">
        <f t="shared" si="0"/>
        <v>35.83</v>
      </c>
      <c r="P29">
        <f t="shared" si="1"/>
        <v>32.03</v>
      </c>
      <c r="Q29" s="3">
        <f t="shared" si="2"/>
        <v>0.52799882110226937</v>
      </c>
      <c r="R29">
        <v>0</v>
      </c>
    </row>
    <row r="30" spans="1:18" x14ac:dyDescent="0.45">
      <c r="A30">
        <v>2026</v>
      </c>
      <c r="B30" t="s">
        <v>17</v>
      </c>
      <c r="C30" t="s">
        <v>69</v>
      </c>
      <c r="D30" t="s">
        <v>66</v>
      </c>
      <c r="E30" t="s">
        <v>67</v>
      </c>
      <c r="F30">
        <v>63.63</v>
      </c>
      <c r="G30">
        <v>29</v>
      </c>
      <c r="H30">
        <v>0</v>
      </c>
      <c r="I30">
        <v>63.63</v>
      </c>
      <c r="J30">
        <v>31.13</v>
      </c>
      <c r="K30">
        <v>32.5</v>
      </c>
      <c r="L30">
        <v>0</v>
      </c>
      <c r="M30">
        <v>0</v>
      </c>
      <c r="N30">
        <v>0</v>
      </c>
      <c r="O30">
        <f t="shared" si="0"/>
        <v>31.13</v>
      </c>
      <c r="P30">
        <f t="shared" si="1"/>
        <v>32.5</v>
      </c>
      <c r="Q30" s="3">
        <f t="shared" si="2"/>
        <v>0.48923463774948928</v>
      </c>
      <c r="R30">
        <v>0</v>
      </c>
    </row>
    <row r="31" spans="1:18" x14ac:dyDescent="0.45">
      <c r="A31">
        <v>2026</v>
      </c>
      <c r="B31" t="s">
        <v>70</v>
      </c>
      <c r="C31">
        <v>1</v>
      </c>
      <c r="D31" t="s">
        <v>71</v>
      </c>
      <c r="E31" t="s">
        <v>32</v>
      </c>
      <c r="F31">
        <v>226.79</v>
      </c>
      <c r="G31">
        <v>3</v>
      </c>
      <c r="H31">
        <v>1</v>
      </c>
      <c r="I31">
        <v>76.59</v>
      </c>
      <c r="J31">
        <v>41.34</v>
      </c>
      <c r="K31">
        <v>35.25</v>
      </c>
      <c r="L31">
        <v>150.19999999999999</v>
      </c>
      <c r="M31">
        <v>77.739999999999995</v>
      </c>
      <c r="N31">
        <v>72.459999999999994</v>
      </c>
      <c r="O31">
        <f t="shared" si="0"/>
        <v>119.08</v>
      </c>
      <c r="P31">
        <f t="shared" si="1"/>
        <v>107.71</v>
      </c>
      <c r="Q31" s="3">
        <f t="shared" si="2"/>
        <v>0.52506724282375772</v>
      </c>
      <c r="R31">
        <v>1</v>
      </c>
    </row>
    <row r="32" spans="1:18" x14ac:dyDescent="0.45">
      <c r="A32">
        <v>2026</v>
      </c>
      <c r="B32" t="s">
        <v>70</v>
      </c>
      <c r="C32">
        <v>2</v>
      </c>
      <c r="D32" t="s">
        <v>72</v>
      </c>
      <c r="E32" t="s">
        <v>21</v>
      </c>
      <c r="F32">
        <v>224.9</v>
      </c>
      <c r="G32">
        <v>2</v>
      </c>
      <c r="H32">
        <v>2</v>
      </c>
      <c r="I32">
        <v>77.23</v>
      </c>
      <c r="J32">
        <v>40.08</v>
      </c>
      <c r="K32">
        <v>37.15</v>
      </c>
      <c r="L32">
        <v>147.66999999999999</v>
      </c>
      <c r="M32">
        <v>72.83</v>
      </c>
      <c r="N32">
        <v>74.84</v>
      </c>
      <c r="O32">
        <f t="shared" si="0"/>
        <v>112.91</v>
      </c>
      <c r="P32">
        <f t="shared" si="1"/>
        <v>111.99000000000001</v>
      </c>
      <c r="Q32" s="3">
        <f t="shared" si="2"/>
        <v>0.50204535349044022</v>
      </c>
      <c r="R32">
        <v>2</v>
      </c>
    </row>
    <row r="33" spans="1:18" x14ac:dyDescent="0.45">
      <c r="A33">
        <v>2026</v>
      </c>
      <c r="B33" t="s">
        <v>70</v>
      </c>
      <c r="C33">
        <v>3</v>
      </c>
      <c r="D33" t="s">
        <v>73</v>
      </c>
      <c r="E33" t="s">
        <v>21</v>
      </c>
      <c r="F33">
        <v>219.16</v>
      </c>
      <c r="G33">
        <v>1</v>
      </c>
      <c r="H33">
        <v>9</v>
      </c>
      <c r="I33">
        <v>78.709999999999994</v>
      </c>
      <c r="J33">
        <v>45.02</v>
      </c>
      <c r="K33">
        <v>33.69</v>
      </c>
      <c r="L33">
        <v>140.44999999999999</v>
      </c>
      <c r="M33">
        <v>72.53</v>
      </c>
      <c r="N33">
        <v>67.92</v>
      </c>
      <c r="O33">
        <f t="shared" si="0"/>
        <v>117.55000000000001</v>
      </c>
      <c r="P33">
        <f t="shared" si="1"/>
        <v>101.61</v>
      </c>
      <c r="Q33" s="3">
        <f t="shared" si="2"/>
        <v>0.53636612520532945</v>
      </c>
      <c r="R33">
        <v>3</v>
      </c>
    </row>
    <row r="34" spans="1:18" x14ac:dyDescent="0.45">
      <c r="A34">
        <v>2026</v>
      </c>
      <c r="B34" t="s">
        <v>70</v>
      </c>
      <c r="C34">
        <v>4</v>
      </c>
      <c r="D34" t="s">
        <v>74</v>
      </c>
      <c r="E34" t="s">
        <v>21</v>
      </c>
      <c r="F34">
        <v>217.88</v>
      </c>
      <c r="G34">
        <v>4</v>
      </c>
      <c r="H34">
        <v>4</v>
      </c>
      <c r="I34">
        <v>74</v>
      </c>
      <c r="J34">
        <v>38.72</v>
      </c>
      <c r="K34">
        <v>35.28</v>
      </c>
      <c r="L34">
        <v>143.88</v>
      </c>
      <c r="M34">
        <v>74.459999999999994</v>
      </c>
      <c r="N34">
        <v>69.42</v>
      </c>
      <c r="O34">
        <f t="shared" si="0"/>
        <v>113.17999999999999</v>
      </c>
      <c r="P34">
        <f t="shared" si="1"/>
        <v>104.7</v>
      </c>
      <c r="Q34" s="3">
        <f t="shared" si="2"/>
        <v>0.51946025335046808</v>
      </c>
      <c r="R34">
        <v>0</v>
      </c>
    </row>
    <row r="35" spans="1:18" x14ac:dyDescent="0.45">
      <c r="A35">
        <v>2026</v>
      </c>
      <c r="B35" t="s">
        <v>70</v>
      </c>
      <c r="C35">
        <v>5</v>
      </c>
      <c r="D35" t="s">
        <v>75</v>
      </c>
      <c r="E35" t="s">
        <v>32</v>
      </c>
      <c r="F35">
        <v>214.91</v>
      </c>
      <c r="G35">
        <v>13</v>
      </c>
      <c r="H35">
        <v>3</v>
      </c>
      <c r="I35">
        <v>67.39</v>
      </c>
      <c r="J35">
        <v>34.19</v>
      </c>
      <c r="K35">
        <v>33.200000000000003</v>
      </c>
      <c r="L35">
        <v>147.52000000000001</v>
      </c>
      <c r="M35">
        <v>78.87</v>
      </c>
      <c r="N35">
        <v>68.650000000000006</v>
      </c>
      <c r="O35">
        <f t="shared" si="0"/>
        <v>113.06</v>
      </c>
      <c r="P35">
        <f t="shared" si="1"/>
        <v>101.85000000000001</v>
      </c>
      <c r="Q35" s="3">
        <f t="shared" si="2"/>
        <v>0.52608068493788096</v>
      </c>
      <c r="R35">
        <v>0</v>
      </c>
    </row>
    <row r="36" spans="1:18" x14ac:dyDescent="0.45">
      <c r="A36">
        <v>2026</v>
      </c>
      <c r="B36" t="s">
        <v>70</v>
      </c>
      <c r="C36">
        <v>6</v>
      </c>
      <c r="D36" t="s">
        <v>76</v>
      </c>
      <c r="E36" t="s">
        <v>28</v>
      </c>
      <c r="F36">
        <v>214.53</v>
      </c>
      <c r="G36">
        <v>5</v>
      </c>
      <c r="H36">
        <v>5</v>
      </c>
      <c r="I36">
        <v>72.89</v>
      </c>
      <c r="J36">
        <v>40.44</v>
      </c>
      <c r="K36">
        <v>32.450000000000003</v>
      </c>
      <c r="L36">
        <v>141.63999999999999</v>
      </c>
      <c r="M36">
        <v>76.930000000000007</v>
      </c>
      <c r="N36">
        <v>65.709999999999994</v>
      </c>
      <c r="O36">
        <f t="shared" si="0"/>
        <v>117.37</v>
      </c>
      <c r="P36">
        <f t="shared" si="1"/>
        <v>98.16</v>
      </c>
      <c r="Q36" s="3">
        <f t="shared" si="2"/>
        <v>0.54456456177794277</v>
      </c>
      <c r="R36">
        <v>0</v>
      </c>
    </row>
    <row r="37" spans="1:18" x14ac:dyDescent="0.45">
      <c r="A37">
        <v>2026</v>
      </c>
      <c r="B37" t="s">
        <v>70</v>
      </c>
      <c r="C37">
        <v>7</v>
      </c>
      <c r="D37" t="s">
        <v>77</v>
      </c>
      <c r="E37" t="s">
        <v>44</v>
      </c>
      <c r="F37">
        <v>210.82</v>
      </c>
      <c r="G37">
        <v>10</v>
      </c>
      <c r="H37">
        <v>6</v>
      </c>
      <c r="I37">
        <v>69.63</v>
      </c>
      <c r="J37">
        <v>36.799999999999997</v>
      </c>
      <c r="K37">
        <v>32.83</v>
      </c>
      <c r="L37">
        <v>141.19</v>
      </c>
      <c r="M37">
        <v>74.819999999999993</v>
      </c>
      <c r="N37">
        <v>66.37</v>
      </c>
      <c r="O37">
        <f t="shared" si="0"/>
        <v>111.61999999999999</v>
      </c>
      <c r="P37">
        <f t="shared" si="1"/>
        <v>99.2</v>
      </c>
      <c r="Q37" s="3">
        <f t="shared" si="2"/>
        <v>0.52945640831040697</v>
      </c>
      <c r="R37">
        <v>0</v>
      </c>
    </row>
    <row r="38" spans="1:18" x14ac:dyDescent="0.45">
      <c r="A38">
        <v>2026</v>
      </c>
      <c r="B38" t="s">
        <v>70</v>
      </c>
      <c r="C38">
        <v>8</v>
      </c>
      <c r="D38" t="s">
        <v>78</v>
      </c>
      <c r="E38" t="s">
        <v>24</v>
      </c>
      <c r="F38">
        <v>210.56</v>
      </c>
      <c r="G38">
        <v>9</v>
      </c>
      <c r="H38">
        <v>8</v>
      </c>
      <c r="I38">
        <v>70.069999999999993</v>
      </c>
      <c r="J38">
        <v>37.61</v>
      </c>
      <c r="K38">
        <v>32.46</v>
      </c>
      <c r="L38">
        <v>140.49</v>
      </c>
      <c r="M38">
        <v>74.150000000000006</v>
      </c>
      <c r="N38">
        <v>66.34</v>
      </c>
      <c r="O38">
        <f t="shared" si="0"/>
        <v>111.76</v>
      </c>
      <c r="P38">
        <f t="shared" si="1"/>
        <v>98.800000000000011</v>
      </c>
      <c r="Q38" s="3">
        <f t="shared" si="2"/>
        <v>0.53077507598784202</v>
      </c>
      <c r="R38">
        <v>0</v>
      </c>
    </row>
    <row r="39" spans="1:18" x14ac:dyDescent="0.45">
      <c r="A39">
        <v>2026</v>
      </c>
      <c r="B39" t="s">
        <v>70</v>
      </c>
      <c r="C39">
        <v>9</v>
      </c>
      <c r="D39" t="s">
        <v>79</v>
      </c>
      <c r="E39" t="s">
        <v>36</v>
      </c>
      <c r="F39">
        <v>209.99</v>
      </c>
      <c r="G39">
        <v>6</v>
      </c>
      <c r="H39">
        <v>11</v>
      </c>
      <c r="I39">
        <v>71.77</v>
      </c>
      <c r="J39">
        <v>38.28</v>
      </c>
      <c r="K39">
        <v>33.49</v>
      </c>
      <c r="L39">
        <v>138.22</v>
      </c>
      <c r="M39">
        <v>71.39</v>
      </c>
      <c r="N39">
        <v>66.83</v>
      </c>
      <c r="O39">
        <f t="shared" si="0"/>
        <v>109.67</v>
      </c>
      <c r="P39">
        <f t="shared" si="1"/>
        <v>100.32</v>
      </c>
      <c r="Q39" s="3">
        <f t="shared" si="2"/>
        <v>0.52226296490309065</v>
      </c>
      <c r="R39">
        <v>0</v>
      </c>
    </row>
    <row r="40" spans="1:18" x14ac:dyDescent="0.45">
      <c r="A40">
        <v>2026</v>
      </c>
      <c r="B40" t="s">
        <v>70</v>
      </c>
      <c r="C40">
        <v>10</v>
      </c>
      <c r="D40" t="s">
        <v>80</v>
      </c>
      <c r="E40" t="s">
        <v>19</v>
      </c>
      <c r="F40">
        <v>207.46</v>
      </c>
      <c r="G40">
        <v>12</v>
      </c>
      <c r="H40">
        <v>10</v>
      </c>
      <c r="I40">
        <v>68.47</v>
      </c>
      <c r="J40">
        <v>36.42</v>
      </c>
      <c r="K40">
        <v>32.049999999999997</v>
      </c>
      <c r="L40">
        <v>138.99</v>
      </c>
      <c r="M40">
        <v>73.77</v>
      </c>
      <c r="N40">
        <v>65.22</v>
      </c>
      <c r="O40">
        <f t="shared" si="0"/>
        <v>110.19</v>
      </c>
      <c r="P40">
        <f t="shared" si="1"/>
        <v>97.27</v>
      </c>
      <c r="Q40" s="3">
        <f t="shared" si="2"/>
        <v>0.53113853272920086</v>
      </c>
      <c r="R40">
        <v>0</v>
      </c>
    </row>
    <row r="41" spans="1:18" x14ac:dyDescent="0.45">
      <c r="A41">
        <v>2026</v>
      </c>
      <c r="B41" t="s">
        <v>70</v>
      </c>
      <c r="C41">
        <v>11</v>
      </c>
      <c r="D41" t="s">
        <v>81</v>
      </c>
      <c r="E41" t="s">
        <v>24</v>
      </c>
      <c r="F41">
        <v>206.68</v>
      </c>
      <c r="G41">
        <v>14</v>
      </c>
      <c r="H41">
        <v>7</v>
      </c>
      <c r="I41">
        <v>65.66</v>
      </c>
      <c r="J41">
        <v>35.79</v>
      </c>
      <c r="K41">
        <v>30.87</v>
      </c>
      <c r="L41">
        <v>141.02000000000001</v>
      </c>
      <c r="M41">
        <v>75.05</v>
      </c>
      <c r="N41">
        <v>65.97</v>
      </c>
      <c r="O41">
        <f t="shared" si="0"/>
        <v>110.84</v>
      </c>
      <c r="P41">
        <f t="shared" si="1"/>
        <v>96.84</v>
      </c>
      <c r="Q41" s="3">
        <f t="shared" si="2"/>
        <v>0.5337057010785824</v>
      </c>
      <c r="R41">
        <v>0</v>
      </c>
    </row>
    <row r="42" spans="1:18" x14ac:dyDescent="0.45">
      <c r="A42">
        <v>2026</v>
      </c>
      <c r="B42" t="s">
        <v>70</v>
      </c>
      <c r="C42">
        <v>12</v>
      </c>
      <c r="D42" t="s">
        <v>82</v>
      </c>
      <c r="E42" t="s">
        <v>32</v>
      </c>
      <c r="F42">
        <v>202.8</v>
      </c>
      <c r="G42">
        <v>8</v>
      </c>
      <c r="H42">
        <v>13</v>
      </c>
      <c r="I42">
        <v>70.84</v>
      </c>
      <c r="J42">
        <v>36.770000000000003</v>
      </c>
      <c r="K42">
        <v>34.07</v>
      </c>
      <c r="L42">
        <v>131.96</v>
      </c>
      <c r="M42">
        <v>64.5</v>
      </c>
      <c r="N42">
        <v>68.459999999999994</v>
      </c>
      <c r="O42">
        <f t="shared" si="0"/>
        <v>101.27000000000001</v>
      </c>
      <c r="P42">
        <f t="shared" si="1"/>
        <v>102.53</v>
      </c>
      <c r="Q42" s="3">
        <f t="shared" si="2"/>
        <v>0.49690873405299313</v>
      </c>
      <c r="R42">
        <v>0</v>
      </c>
    </row>
    <row r="43" spans="1:18" x14ac:dyDescent="0.45">
      <c r="A43">
        <v>2026</v>
      </c>
      <c r="B43" t="s">
        <v>70</v>
      </c>
      <c r="C43">
        <v>13</v>
      </c>
      <c r="D43" t="s">
        <v>83</v>
      </c>
      <c r="E43" t="s">
        <v>84</v>
      </c>
      <c r="F43">
        <v>200.3</v>
      </c>
      <c r="G43">
        <v>11</v>
      </c>
      <c r="H43">
        <v>14</v>
      </c>
      <c r="I43">
        <v>68.97</v>
      </c>
      <c r="J43">
        <v>36.86</v>
      </c>
      <c r="K43">
        <v>32.11</v>
      </c>
      <c r="L43">
        <v>131.33000000000001</v>
      </c>
      <c r="M43">
        <v>67.63</v>
      </c>
      <c r="N43">
        <v>63.7</v>
      </c>
      <c r="O43">
        <f t="shared" si="0"/>
        <v>104.49</v>
      </c>
      <c r="P43">
        <f t="shared" si="1"/>
        <v>95.81</v>
      </c>
      <c r="Q43" s="3">
        <f t="shared" si="2"/>
        <v>0.52166749875187213</v>
      </c>
      <c r="R43">
        <v>0</v>
      </c>
    </row>
    <row r="44" spans="1:18" x14ac:dyDescent="0.45">
      <c r="A44">
        <v>2026</v>
      </c>
      <c r="B44" t="s">
        <v>70</v>
      </c>
      <c r="C44">
        <v>14</v>
      </c>
      <c r="D44" t="s">
        <v>85</v>
      </c>
      <c r="E44" t="s">
        <v>84</v>
      </c>
      <c r="F44">
        <v>199.65</v>
      </c>
      <c r="G44">
        <v>7</v>
      </c>
      <c r="H44">
        <v>15</v>
      </c>
      <c r="I44">
        <v>70.930000000000007</v>
      </c>
      <c r="J44">
        <v>36.92</v>
      </c>
      <c r="K44">
        <v>34.01</v>
      </c>
      <c r="L44">
        <v>128.72</v>
      </c>
      <c r="M44">
        <v>61.49</v>
      </c>
      <c r="N44">
        <v>67.23</v>
      </c>
      <c r="O44">
        <f t="shared" si="0"/>
        <v>98.41</v>
      </c>
      <c r="P44">
        <f t="shared" si="1"/>
        <v>101.24000000000001</v>
      </c>
      <c r="Q44" s="3">
        <f t="shared" si="2"/>
        <v>0.49291259704482843</v>
      </c>
      <c r="R44">
        <v>0</v>
      </c>
    </row>
    <row r="45" spans="1:18" x14ac:dyDescent="0.45">
      <c r="A45">
        <v>2026</v>
      </c>
      <c r="B45" t="s">
        <v>70</v>
      </c>
      <c r="C45">
        <v>15</v>
      </c>
      <c r="D45" t="s">
        <v>86</v>
      </c>
      <c r="E45" t="s">
        <v>34</v>
      </c>
      <c r="F45">
        <v>195.75</v>
      </c>
      <c r="G45">
        <v>18</v>
      </c>
      <c r="H45">
        <v>12</v>
      </c>
      <c r="I45">
        <v>61.56</v>
      </c>
      <c r="J45">
        <v>29.5</v>
      </c>
      <c r="K45">
        <v>32.06</v>
      </c>
      <c r="L45">
        <v>134.19</v>
      </c>
      <c r="M45">
        <v>69.73</v>
      </c>
      <c r="N45">
        <v>64.459999999999994</v>
      </c>
      <c r="O45">
        <f t="shared" si="0"/>
        <v>99.23</v>
      </c>
      <c r="P45">
        <f t="shared" si="1"/>
        <v>96.52</v>
      </c>
      <c r="Q45" s="3">
        <f t="shared" si="2"/>
        <v>0.50692209450830139</v>
      </c>
      <c r="R45">
        <v>0</v>
      </c>
    </row>
    <row r="46" spans="1:18" x14ac:dyDescent="0.45">
      <c r="A46">
        <v>2026</v>
      </c>
      <c r="B46" t="s">
        <v>70</v>
      </c>
      <c r="C46">
        <v>16</v>
      </c>
      <c r="D46" t="s">
        <v>87</v>
      </c>
      <c r="E46" t="s">
        <v>88</v>
      </c>
      <c r="F46">
        <v>192.79</v>
      </c>
      <c r="G46">
        <v>15</v>
      </c>
      <c r="H46">
        <v>17</v>
      </c>
      <c r="I46">
        <v>65.06</v>
      </c>
      <c r="J46">
        <v>36.22</v>
      </c>
      <c r="K46">
        <v>28.84</v>
      </c>
      <c r="L46">
        <v>127.73</v>
      </c>
      <c r="M46">
        <v>68.430000000000007</v>
      </c>
      <c r="N46">
        <v>59.3</v>
      </c>
      <c r="O46">
        <f t="shared" si="0"/>
        <v>104.65</v>
      </c>
      <c r="P46">
        <f t="shared" si="1"/>
        <v>88.14</v>
      </c>
      <c r="Q46" s="3">
        <f t="shared" si="2"/>
        <v>0.54281861092380312</v>
      </c>
      <c r="R46">
        <v>0</v>
      </c>
    </row>
    <row r="47" spans="1:18" x14ac:dyDescent="0.45">
      <c r="A47">
        <v>2026</v>
      </c>
      <c r="B47" t="s">
        <v>70</v>
      </c>
      <c r="C47">
        <v>17</v>
      </c>
      <c r="D47" t="s">
        <v>89</v>
      </c>
      <c r="E47" t="s">
        <v>90</v>
      </c>
      <c r="F47">
        <v>190.93</v>
      </c>
      <c r="G47">
        <v>16</v>
      </c>
      <c r="H47">
        <v>16</v>
      </c>
      <c r="I47">
        <v>63.13</v>
      </c>
      <c r="J47">
        <v>34.15</v>
      </c>
      <c r="K47">
        <v>28.98</v>
      </c>
      <c r="L47">
        <v>127.8</v>
      </c>
      <c r="M47">
        <v>66.28</v>
      </c>
      <c r="N47">
        <v>61.52</v>
      </c>
      <c r="O47">
        <f t="shared" si="0"/>
        <v>100.43</v>
      </c>
      <c r="P47">
        <f t="shared" si="1"/>
        <v>90.5</v>
      </c>
      <c r="Q47" s="3">
        <f t="shared" si="2"/>
        <v>0.52600429476771593</v>
      </c>
      <c r="R47">
        <v>0</v>
      </c>
    </row>
    <row r="48" spans="1:18" x14ac:dyDescent="0.45">
      <c r="A48">
        <v>2026</v>
      </c>
      <c r="B48" t="s">
        <v>70</v>
      </c>
      <c r="C48">
        <v>18</v>
      </c>
      <c r="D48" t="s">
        <v>91</v>
      </c>
      <c r="E48" t="s">
        <v>92</v>
      </c>
      <c r="F48">
        <v>185.59</v>
      </c>
      <c r="G48">
        <v>17</v>
      </c>
      <c r="H48">
        <v>18</v>
      </c>
      <c r="I48">
        <v>61.72</v>
      </c>
      <c r="J48">
        <v>32.64</v>
      </c>
      <c r="K48">
        <v>29.08</v>
      </c>
      <c r="L48">
        <v>123.87</v>
      </c>
      <c r="M48">
        <v>64.06</v>
      </c>
      <c r="N48">
        <v>59.81</v>
      </c>
      <c r="O48">
        <f t="shared" si="0"/>
        <v>96.7</v>
      </c>
      <c r="P48">
        <f t="shared" si="1"/>
        <v>88.89</v>
      </c>
      <c r="Q48" s="3">
        <f t="shared" si="2"/>
        <v>0.52104100436445933</v>
      </c>
      <c r="R48">
        <v>0</v>
      </c>
    </row>
    <row r="49" spans="1:18" x14ac:dyDescent="0.45">
      <c r="A49">
        <v>2026</v>
      </c>
      <c r="B49" t="s">
        <v>70</v>
      </c>
      <c r="C49">
        <v>19</v>
      </c>
      <c r="D49" t="s">
        <v>93</v>
      </c>
      <c r="E49" t="s">
        <v>46</v>
      </c>
      <c r="F49">
        <v>178.03</v>
      </c>
      <c r="G49">
        <v>20</v>
      </c>
      <c r="H49">
        <v>19</v>
      </c>
      <c r="I49">
        <v>59.38</v>
      </c>
      <c r="J49">
        <v>32.64</v>
      </c>
      <c r="K49">
        <v>26.74</v>
      </c>
      <c r="L49">
        <v>118.65</v>
      </c>
      <c r="M49">
        <v>61.54</v>
      </c>
      <c r="N49">
        <v>57.11</v>
      </c>
      <c r="O49">
        <f t="shared" si="0"/>
        <v>94.18</v>
      </c>
      <c r="P49">
        <f t="shared" si="1"/>
        <v>83.85</v>
      </c>
      <c r="Q49" s="3">
        <f t="shared" si="2"/>
        <v>0.52901196427568387</v>
      </c>
      <c r="R49">
        <v>0</v>
      </c>
    </row>
    <row r="50" spans="1:18" x14ac:dyDescent="0.45">
      <c r="A50">
        <v>2026</v>
      </c>
      <c r="B50" t="s">
        <v>70</v>
      </c>
      <c r="C50">
        <v>20</v>
      </c>
      <c r="D50" t="s">
        <v>94</v>
      </c>
      <c r="E50" t="s">
        <v>53</v>
      </c>
      <c r="F50">
        <v>173.37</v>
      </c>
      <c r="G50">
        <v>19</v>
      </c>
      <c r="H50">
        <v>21</v>
      </c>
      <c r="I50">
        <v>60.14</v>
      </c>
      <c r="J50">
        <v>31.56</v>
      </c>
      <c r="K50">
        <v>28.58</v>
      </c>
      <c r="L50">
        <v>113.23</v>
      </c>
      <c r="M50">
        <v>56.6</v>
      </c>
      <c r="N50">
        <v>56.63</v>
      </c>
      <c r="O50">
        <f t="shared" si="0"/>
        <v>88.16</v>
      </c>
      <c r="P50">
        <f t="shared" si="1"/>
        <v>85.210000000000008</v>
      </c>
      <c r="Q50" s="3">
        <f t="shared" si="2"/>
        <v>0.50850781565438075</v>
      </c>
      <c r="R50">
        <v>0</v>
      </c>
    </row>
    <row r="51" spans="1:18" x14ac:dyDescent="0.45">
      <c r="A51">
        <v>2026</v>
      </c>
      <c r="B51" t="s">
        <v>70</v>
      </c>
      <c r="C51">
        <v>21</v>
      </c>
      <c r="D51" t="s">
        <v>95</v>
      </c>
      <c r="E51" t="s">
        <v>41</v>
      </c>
      <c r="F51">
        <v>171.52</v>
      </c>
      <c r="G51">
        <v>23</v>
      </c>
      <c r="H51">
        <v>20</v>
      </c>
      <c r="I51">
        <v>55.69</v>
      </c>
      <c r="J51">
        <v>30.62</v>
      </c>
      <c r="K51">
        <v>26.07</v>
      </c>
      <c r="L51">
        <v>115.83</v>
      </c>
      <c r="M51">
        <v>62.95</v>
      </c>
      <c r="N51">
        <v>53.88</v>
      </c>
      <c r="O51">
        <f t="shared" si="0"/>
        <v>93.570000000000007</v>
      </c>
      <c r="P51">
        <f t="shared" si="1"/>
        <v>79.95</v>
      </c>
      <c r="Q51" s="3">
        <f t="shared" si="2"/>
        <v>0.53924619640387272</v>
      </c>
      <c r="R51">
        <v>0</v>
      </c>
    </row>
    <row r="52" spans="1:18" x14ac:dyDescent="0.45">
      <c r="A52">
        <v>2026</v>
      </c>
      <c r="B52" t="s">
        <v>70</v>
      </c>
      <c r="C52">
        <v>22</v>
      </c>
      <c r="D52" t="s">
        <v>96</v>
      </c>
      <c r="E52" t="s">
        <v>30</v>
      </c>
      <c r="F52">
        <v>167.08</v>
      </c>
      <c r="G52">
        <v>24</v>
      </c>
      <c r="H52">
        <v>22</v>
      </c>
      <c r="I52">
        <v>55.63</v>
      </c>
      <c r="J52">
        <v>29.32</v>
      </c>
      <c r="K52">
        <v>26.31</v>
      </c>
      <c r="L52">
        <v>111.45</v>
      </c>
      <c r="M52">
        <v>59.41</v>
      </c>
      <c r="N52">
        <v>52.04</v>
      </c>
      <c r="O52">
        <f t="shared" si="0"/>
        <v>88.72999999999999</v>
      </c>
      <c r="P52">
        <f t="shared" si="1"/>
        <v>78.349999999999994</v>
      </c>
      <c r="Q52" s="3">
        <f t="shared" si="2"/>
        <v>0.5310629638496529</v>
      </c>
      <c r="R52">
        <v>0</v>
      </c>
    </row>
    <row r="53" spans="1:18" x14ac:dyDescent="0.45">
      <c r="A53">
        <v>2026</v>
      </c>
      <c r="B53" t="s">
        <v>70</v>
      </c>
      <c r="C53">
        <v>23</v>
      </c>
      <c r="D53" t="s">
        <v>97</v>
      </c>
      <c r="E53" t="s">
        <v>41</v>
      </c>
      <c r="F53">
        <v>159.54</v>
      </c>
      <c r="G53">
        <v>21</v>
      </c>
      <c r="H53">
        <v>23</v>
      </c>
      <c r="I53">
        <v>59.2</v>
      </c>
      <c r="J53">
        <v>29.84</v>
      </c>
      <c r="K53">
        <v>29.36</v>
      </c>
      <c r="L53">
        <v>100.34</v>
      </c>
      <c r="M53">
        <v>51.21</v>
      </c>
      <c r="N53">
        <v>53.13</v>
      </c>
      <c r="O53">
        <f t="shared" si="0"/>
        <v>81.05</v>
      </c>
      <c r="P53">
        <f t="shared" si="1"/>
        <v>82.490000000000009</v>
      </c>
      <c r="Q53" s="3">
        <f t="shared" si="2"/>
        <v>0.49559740736211316</v>
      </c>
      <c r="R53">
        <v>0</v>
      </c>
    </row>
    <row r="54" spans="1:18" x14ac:dyDescent="0.45">
      <c r="A54">
        <v>2026</v>
      </c>
      <c r="B54" t="s">
        <v>70</v>
      </c>
      <c r="C54">
        <v>24</v>
      </c>
      <c r="D54" t="s">
        <v>98</v>
      </c>
      <c r="E54" t="s">
        <v>99</v>
      </c>
      <c r="F54">
        <v>152.61000000000001</v>
      </c>
      <c r="G54">
        <v>22</v>
      </c>
      <c r="H54">
        <v>24</v>
      </c>
      <c r="I54">
        <v>58.61</v>
      </c>
      <c r="J54">
        <v>32.15</v>
      </c>
      <c r="K54">
        <v>26.46</v>
      </c>
      <c r="L54">
        <v>94</v>
      </c>
      <c r="M54">
        <v>44.64</v>
      </c>
      <c r="N54">
        <v>50.36</v>
      </c>
      <c r="O54">
        <f t="shared" si="0"/>
        <v>76.789999999999992</v>
      </c>
      <c r="P54">
        <f t="shared" si="1"/>
        <v>76.819999999999993</v>
      </c>
      <c r="Q54" s="3">
        <f t="shared" si="2"/>
        <v>0.49990235010741491</v>
      </c>
      <c r="R54">
        <v>0</v>
      </c>
    </row>
    <row r="55" spans="1:18" x14ac:dyDescent="0.45">
      <c r="A55">
        <v>2026</v>
      </c>
      <c r="B55" t="s">
        <v>70</v>
      </c>
      <c r="C55" t="s">
        <v>69</v>
      </c>
      <c r="D55" t="s">
        <v>100</v>
      </c>
      <c r="E55" t="s">
        <v>26</v>
      </c>
      <c r="F55">
        <v>55.38</v>
      </c>
      <c r="G55">
        <v>25</v>
      </c>
      <c r="H55">
        <v>0</v>
      </c>
      <c r="I55">
        <v>55.38</v>
      </c>
      <c r="J55">
        <v>26.39</v>
      </c>
      <c r="K55">
        <v>28.99</v>
      </c>
      <c r="L55">
        <v>0</v>
      </c>
      <c r="M55">
        <v>0</v>
      </c>
      <c r="N55">
        <v>0</v>
      </c>
      <c r="O55">
        <f t="shared" si="0"/>
        <v>26.39</v>
      </c>
      <c r="P55">
        <f t="shared" si="1"/>
        <v>28.99</v>
      </c>
      <c r="Q55" s="3">
        <f t="shared" si="2"/>
        <v>0.47652582159624418</v>
      </c>
      <c r="R55">
        <v>0</v>
      </c>
    </row>
    <row r="56" spans="1:18" x14ac:dyDescent="0.45">
      <c r="A56">
        <v>2026</v>
      </c>
      <c r="B56" t="s">
        <v>70</v>
      </c>
      <c r="C56" t="s">
        <v>69</v>
      </c>
      <c r="D56" t="s">
        <v>101</v>
      </c>
      <c r="E56" t="s">
        <v>28</v>
      </c>
      <c r="F56">
        <v>54.57</v>
      </c>
      <c r="G56">
        <v>26</v>
      </c>
      <c r="H56">
        <v>0</v>
      </c>
      <c r="I56">
        <v>54.57</v>
      </c>
      <c r="J56">
        <v>29.15</v>
      </c>
      <c r="K56">
        <v>25.42</v>
      </c>
      <c r="L56">
        <v>0</v>
      </c>
      <c r="M56">
        <v>0</v>
      </c>
      <c r="N56">
        <v>0</v>
      </c>
      <c r="O56">
        <f t="shared" si="0"/>
        <v>29.15</v>
      </c>
      <c r="P56">
        <f t="shared" si="1"/>
        <v>25.42</v>
      </c>
      <c r="Q56" s="3">
        <f t="shared" si="2"/>
        <v>0.53417628733736477</v>
      </c>
      <c r="R56">
        <v>0</v>
      </c>
    </row>
    <row r="57" spans="1:18" x14ac:dyDescent="0.45">
      <c r="A57">
        <v>2026</v>
      </c>
      <c r="B57" t="s">
        <v>70</v>
      </c>
      <c r="C57" t="s">
        <v>69</v>
      </c>
      <c r="D57" t="s">
        <v>102</v>
      </c>
      <c r="E57" t="s">
        <v>103</v>
      </c>
      <c r="F57">
        <v>53.86</v>
      </c>
      <c r="G57">
        <v>27</v>
      </c>
      <c r="H57">
        <v>0</v>
      </c>
      <c r="I57">
        <v>53.86</v>
      </c>
      <c r="J57">
        <v>29.77</v>
      </c>
      <c r="K57">
        <v>24.09</v>
      </c>
      <c r="L57">
        <v>0</v>
      </c>
      <c r="M57">
        <v>0</v>
      </c>
      <c r="N57">
        <v>0</v>
      </c>
      <c r="O57">
        <f t="shared" si="0"/>
        <v>29.77</v>
      </c>
      <c r="P57">
        <f t="shared" si="1"/>
        <v>24.09</v>
      </c>
      <c r="Q57" s="3">
        <f t="shared" si="2"/>
        <v>0.5527292981804679</v>
      </c>
      <c r="R57">
        <v>0</v>
      </c>
    </row>
    <row r="58" spans="1:18" x14ac:dyDescent="0.45">
      <c r="A58">
        <v>2026</v>
      </c>
      <c r="B58" t="s">
        <v>70</v>
      </c>
      <c r="C58" t="s">
        <v>69</v>
      </c>
      <c r="D58" t="s">
        <v>104</v>
      </c>
      <c r="E58" t="s">
        <v>105</v>
      </c>
      <c r="F58">
        <v>53.42</v>
      </c>
      <c r="G58">
        <v>28</v>
      </c>
      <c r="H58">
        <v>0</v>
      </c>
      <c r="I58">
        <v>53.42</v>
      </c>
      <c r="J58">
        <v>28.77</v>
      </c>
      <c r="K58">
        <v>24.65</v>
      </c>
      <c r="L58">
        <v>0</v>
      </c>
      <c r="M58">
        <v>0</v>
      </c>
      <c r="N58">
        <v>0</v>
      </c>
      <c r="O58">
        <f t="shared" si="0"/>
        <v>28.77</v>
      </c>
      <c r="P58">
        <f t="shared" si="1"/>
        <v>24.65</v>
      </c>
      <c r="Q58" s="3">
        <f t="shared" si="2"/>
        <v>0.538562336203669</v>
      </c>
      <c r="R58">
        <v>0</v>
      </c>
    </row>
    <row r="59" spans="1:18" x14ac:dyDescent="0.45">
      <c r="A59">
        <v>2026</v>
      </c>
      <c r="B59" t="s">
        <v>70</v>
      </c>
      <c r="C59" t="s">
        <v>69</v>
      </c>
      <c r="D59" t="s">
        <v>106</v>
      </c>
      <c r="E59" t="s">
        <v>107</v>
      </c>
      <c r="F59">
        <v>45.54</v>
      </c>
      <c r="G59">
        <v>29</v>
      </c>
      <c r="H59">
        <v>0</v>
      </c>
      <c r="I59">
        <v>45.54</v>
      </c>
      <c r="J59">
        <v>21.55</v>
      </c>
      <c r="K59">
        <v>23.99</v>
      </c>
      <c r="L59">
        <v>0</v>
      </c>
      <c r="M59">
        <v>0</v>
      </c>
      <c r="N59">
        <v>0</v>
      </c>
      <c r="O59">
        <f t="shared" si="0"/>
        <v>21.55</v>
      </c>
      <c r="P59">
        <f t="shared" si="1"/>
        <v>23.99</v>
      </c>
      <c r="Q59" s="3">
        <f t="shared" si="2"/>
        <v>0.47321036451471238</v>
      </c>
      <c r="R59">
        <v>0</v>
      </c>
    </row>
    <row r="60" spans="1:18" x14ac:dyDescent="0.45">
      <c r="A60">
        <v>2022</v>
      </c>
      <c r="B60" t="s">
        <v>17</v>
      </c>
      <c r="C60">
        <v>1</v>
      </c>
      <c r="D60" t="s">
        <v>108</v>
      </c>
      <c r="E60" t="s">
        <v>32</v>
      </c>
      <c r="F60">
        <v>332.6</v>
      </c>
      <c r="G60">
        <v>1</v>
      </c>
      <c r="H60">
        <v>1</v>
      </c>
      <c r="I60">
        <v>113.97</v>
      </c>
      <c r="J60">
        <v>65.98</v>
      </c>
      <c r="K60">
        <v>47.99</v>
      </c>
      <c r="L60">
        <v>218.63</v>
      </c>
      <c r="M60">
        <v>121.41</v>
      </c>
      <c r="N60">
        <v>97.22</v>
      </c>
      <c r="O60">
        <f t="shared" si="0"/>
        <v>187.39</v>
      </c>
      <c r="P60">
        <f t="shared" si="1"/>
        <v>145.21</v>
      </c>
      <c r="Q60" s="3">
        <f t="shared" si="2"/>
        <v>0.56340950090198427</v>
      </c>
      <c r="R60">
        <v>1</v>
      </c>
    </row>
    <row r="61" spans="1:18" x14ac:dyDescent="0.45">
      <c r="A61">
        <v>2022</v>
      </c>
      <c r="B61" t="s">
        <v>17</v>
      </c>
      <c r="C61">
        <v>2</v>
      </c>
      <c r="D61" t="s">
        <v>20</v>
      </c>
      <c r="E61" t="s">
        <v>21</v>
      </c>
      <c r="F61">
        <v>310.05</v>
      </c>
      <c r="G61">
        <v>2</v>
      </c>
      <c r="H61">
        <v>2</v>
      </c>
      <c r="I61">
        <v>108.12</v>
      </c>
      <c r="J61">
        <v>60.91</v>
      </c>
      <c r="K61">
        <v>47.21</v>
      </c>
      <c r="L61">
        <v>201.93</v>
      </c>
      <c r="M61">
        <v>107.99</v>
      </c>
      <c r="N61">
        <v>93.94</v>
      </c>
      <c r="O61">
        <f t="shared" si="0"/>
        <v>168.89999999999998</v>
      </c>
      <c r="P61">
        <f t="shared" si="1"/>
        <v>141.15</v>
      </c>
      <c r="Q61" s="3">
        <f t="shared" si="2"/>
        <v>0.54475084663763906</v>
      </c>
      <c r="R61">
        <v>2</v>
      </c>
    </row>
    <row r="62" spans="1:18" x14ac:dyDescent="0.45">
      <c r="A62">
        <v>2022</v>
      </c>
      <c r="B62" t="s">
        <v>17</v>
      </c>
      <c r="C62">
        <v>3</v>
      </c>
      <c r="D62" t="s">
        <v>109</v>
      </c>
      <c r="E62" t="s">
        <v>21</v>
      </c>
      <c r="F62">
        <v>293</v>
      </c>
      <c r="G62">
        <v>3</v>
      </c>
      <c r="H62">
        <v>5</v>
      </c>
      <c r="I62">
        <v>105.9</v>
      </c>
      <c r="J62">
        <v>59.05</v>
      </c>
      <c r="K62">
        <v>46.85</v>
      </c>
      <c r="L62">
        <v>187.1</v>
      </c>
      <c r="M62">
        <v>96.24</v>
      </c>
      <c r="N62">
        <v>91.86</v>
      </c>
      <c r="O62">
        <f t="shared" si="0"/>
        <v>155.29</v>
      </c>
      <c r="P62">
        <f t="shared" si="1"/>
        <v>138.71</v>
      </c>
      <c r="Q62" s="3">
        <f t="shared" si="2"/>
        <v>0.52819727891156465</v>
      </c>
      <c r="R62">
        <v>3</v>
      </c>
    </row>
    <row r="63" spans="1:18" x14ac:dyDescent="0.45">
      <c r="A63">
        <v>2022</v>
      </c>
      <c r="B63" t="s">
        <v>17</v>
      </c>
      <c r="C63">
        <v>4</v>
      </c>
      <c r="D63" t="s">
        <v>110</v>
      </c>
      <c r="E63" t="s">
        <v>21</v>
      </c>
      <c r="F63">
        <v>283.20999999999998</v>
      </c>
      <c r="G63">
        <v>8</v>
      </c>
      <c r="H63">
        <v>3</v>
      </c>
      <c r="I63">
        <v>95.15</v>
      </c>
      <c r="J63">
        <v>48.07</v>
      </c>
      <c r="K63">
        <v>47.08</v>
      </c>
      <c r="L63">
        <v>188.06</v>
      </c>
      <c r="M63">
        <v>99.62</v>
      </c>
      <c r="N63">
        <v>90.44</v>
      </c>
      <c r="O63">
        <f t="shared" si="0"/>
        <v>147.69</v>
      </c>
      <c r="P63">
        <f t="shared" si="1"/>
        <v>137.51999999999998</v>
      </c>
      <c r="Q63" s="3">
        <f t="shared" si="2"/>
        <v>0.51782896812874724</v>
      </c>
      <c r="R63">
        <v>0</v>
      </c>
    </row>
    <row r="64" spans="1:18" x14ac:dyDescent="0.45">
      <c r="A64">
        <v>2022</v>
      </c>
      <c r="B64" t="s">
        <v>17</v>
      </c>
      <c r="C64">
        <v>5</v>
      </c>
      <c r="D64" t="s">
        <v>23</v>
      </c>
      <c r="E64" t="s">
        <v>24</v>
      </c>
      <c r="F64">
        <v>282.38</v>
      </c>
      <c r="G64">
        <v>4</v>
      </c>
      <c r="H64">
        <v>7</v>
      </c>
      <c r="I64">
        <v>99.51</v>
      </c>
      <c r="J64">
        <v>54.3</v>
      </c>
      <c r="K64">
        <v>45.21</v>
      </c>
      <c r="L64">
        <v>182.87</v>
      </c>
      <c r="M64">
        <v>93.59</v>
      </c>
      <c r="N64">
        <v>90.28</v>
      </c>
      <c r="O64">
        <f t="shared" si="0"/>
        <v>147.88999999999999</v>
      </c>
      <c r="P64">
        <f t="shared" si="1"/>
        <v>135.49</v>
      </c>
      <c r="Q64" s="3">
        <f t="shared" si="2"/>
        <v>0.5218787493824546</v>
      </c>
      <c r="R64">
        <v>0</v>
      </c>
    </row>
    <row r="65" spans="1:18" x14ac:dyDescent="0.45">
      <c r="A65">
        <v>2022</v>
      </c>
      <c r="B65" t="s">
        <v>17</v>
      </c>
      <c r="C65">
        <v>6</v>
      </c>
      <c r="D65" t="s">
        <v>111</v>
      </c>
      <c r="E65" t="s">
        <v>32</v>
      </c>
      <c r="F65">
        <v>281.24</v>
      </c>
      <c r="G65">
        <v>6</v>
      </c>
      <c r="H65">
        <v>6</v>
      </c>
      <c r="I65">
        <v>97.24</v>
      </c>
      <c r="J65">
        <v>49.95</v>
      </c>
      <c r="K65">
        <v>47.29</v>
      </c>
      <c r="L65">
        <v>184</v>
      </c>
      <c r="M65">
        <v>87.66</v>
      </c>
      <c r="N65">
        <v>96.34</v>
      </c>
      <c r="O65">
        <f t="shared" si="0"/>
        <v>137.61000000000001</v>
      </c>
      <c r="P65">
        <f t="shared" si="1"/>
        <v>143.63</v>
      </c>
      <c r="Q65" s="3">
        <f t="shared" si="2"/>
        <v>0.4892973972407908</v>
      </c>
      <c r="R65">
        <v>0</v>
      </c>
    </row>
    <row r="66" spans="1:18" x14ac:dyDescent="0.45">
      <c r="A66">
        <v>2022</v>
      </c>
      <c r="B66" t="s">
        <v>17</v>
      </c>
      <c r="C66">
        <v>7</v>
      </c>
      <c r="D66" t="s">
        <v>33</v>
      </c>
      <c r="E66" t="s">
        <v>34</v>
      </c>
      <c r="F66">
        <v>278.07</v>
      </c>
      <c r="G66">
        <v>12</v>
      </c>
      <c r="H66">
        <v>4</v>
      </c>
      <c r="I66">
        <v>90.64</v>
      </c>
      <c r="J66">
        <v>48.7</v>
      </c>
      <c r="K66">
        <v>41.94</v>
      </c>
      <c r="L66">
        <v>187.43</v>
      </c>
      <c r="M66">
        <v>103.35</v>
      </c>
      <c r="N66">
        <v>84.08</v>
      </c>
      <c r="O66">
        <f t="shared" si="0"/>
        <v>152.05000000000001</v>
      </c>
      <c r="P66">
        <f t="shared" si="1"/>
        <v>126.02</v>
      </c>
      <c r="Q66" s="3">
        <f t="shared" si="2"/>
        <v>0.54680476139101675</v>
      </c>
      <c r="R66">
        <v>0</v>
      </c>
    </row>
    <row r="67" spans="1:18" x14ac:dyDescent="0.45">
      <c r="A67">
        <v>2022</v>
      </c>
      <c r="B67" t="s">
        <v>17</v>
      </c>
      <c r="C67">
        <v>8</v>
      </c>
      <c r="D67" t="s">
        <v>112</v>
      </c>
      <c r="E67" t="s">
        <v>113</v>
      </c>
      <c r="F67">
        <v>274.13</v>
      </c>
      <c r="G67">
        <v>7</v>
      </c>
      <c r="H67">
        <v>9</v>
      </c>
      <c r="I67">
        <v>95.76</v>
      </c>
      <c r="J67">
        <v>55.23</v>
      </c>
      <c r="K67">
        <v>40.53</v>
      </c>
      <c r="L67">
        <v>178.37</v>
      </c>
      <c r="M67">
        <v>94.81</v>
      </c>
      <c r="N67">
        <v>83.56</v>
      </c>
      <c r="O67">
        <f t="shared" ref="O67:O130" si="3">J67+M67</f>
        <v>150.04</v>
      </c>
      <c r="P67">
        <f t="shared" ref="P67:P130" si="4">K67+N67</f>
        <v>124.09</v>
      </c>
      <c r="Q67" s="3">
        <f t="shared" ref="Q67:Q130" si="5">IF(O67+P67=0,"",O67/(O67+P67))</f>
        <v>0.54733155801991751</v>
      </c>
      <c r="R67">
        <v>0</v>
      </c>
    </row>
    <row r="68" spans="1:18" x14ac:dyDescent="0.45">
      <c r="A68">
        <v>2022</v>
      </c>
      <c r="B68" t="s">
        <v>17</v>
      </c>
      <c r="C68">
        <v>9</v>
      </c>
      <c r="D68" t="s">
        <v>45</v>
      </c>
      <c r="E68" t="s">
        <v>46</v>
      </c>
      <c r="F68">
        <v>270.43</v>
      </c>
      <c r="G68">
        <v>11</v>
      </c>
      <c r="H68">
        <v>8</v>
      </c>
      <c r="I68">
        <v>90.98</v>
      </c>
      <c r="J68">
        <v>51.62</v>
      </c>
      <c r="K68">
        <v>39.36</v>
      </c>
      <c r="L68">
        <v>179.45</v>
      </c>
      <c r="M68">
        <v>97.23</v>
      </c>
      <c r="N68">
        <v>82.22</v>
      </c>
      <c r="O68">
        <f t="shared" si="3"/>
        <v>148.85</v>
      </c>
      <c r="P68">
        <f t="shared" si="4"/>
        <v>121.58</v>
      </c>
      <c r="Q68" s="3">
        <f t="shared" si="5"/>
        <v>0.55041970195614387</v>
      </c>
      <c r="R68">
        <v>0</v>
      </c>
    </row>
    <row r="69" spans="1:18" x14ac:dyDescent="0.45">
      <c r="A69">
        <v>2022</v>
      </c>
      <c r="B69" t="s">
        <v>17</v>
      </c>
      <c r="C69">
        <v>10</v>
      </c>
      <c r="D69" t="s">
        <v>114</v>
      </c>
      <c r="E69" t="s">
        <v>36</v>
      </c>
      <c r="F69">
        <v>268.62</v>
      </c>
      <c r="G69">
        <v>5</v>
      </c>
      <c r="H69">
        <v>11</v>
      </c>
      <c r="I69">
        <v>97.98</v>
      </c>
      <c r="J69">
        <v>55.69</v>
      </c>
      <c r="K69">
        <v>42.29</v>
      </c>
      <c r="L69">
        <v>170.64</v>
      </c>
      <c r="M69">
        <v>85.92</v>
      </c>
      <c r="N69">
        <v>84.72</v>
      </c>
      <c r="O69">
        <f t="shared" si="3"/>
        <v>141.61000000000001</v>
      </c>
      <c r="P69">
        <f t="shared" si="4"/>
        <v>127.00999999999999</v>
      </c>
      <c r="Q69" s="3">
        <f t="shared" si="5"/>
        <v>0.52717593626684545</v>
      </c>
      <c r="R69">
        <v>0</v>
      </c>
    </row>
    <row r="70" spans="1:18" x14ac:dyDescent="0.45">
      <c r="A70">
        <v>2022</v>
      </c>
      <c r="B70" t="s">
        <v>17</v>
      </c>
      <c r="C70">
        <v>11</v>
      </c>
      <c r="D70" t="s">
        <v>115</v>
      </c>
      <c r="E70" t="s">
        <v>26</v>
      </c>
      <c r="F70">
        <v>265.61</v>
      </c>
      <c r="G70">
        <v>9</v>
      </c>
      <c r="H70">
        <v>10</v>
      </c>
      <c r="I70">
        <v>93.24</v>
      </c>
      <c r="J70">
        <v>49.3</v>
      </c>
      <c r="K70">
        <v>43.94</v>
      </c>
      <c r="L70">
        <v>172.37</v>
      </c>
      <c r="M70">
        <v>84.13</v>
      </c>
      <c r="N70">
        <v>88.24</v>
      </c>
      <c r="O70">
        <f t="shared" si="3"/>
        <v>133.43</v>
      </c>
      <c r="P70">
        <f t="shared" si="4"/>
        <v>132.18</v>
      </c>
      <c r="Q70" s="3">
        <f t="shared" si="5"/>
        <v>0.50235307405594665</v>
      </c>
      <c r="R70">
        <v>0</v>
      </c>
    </row>
    <row r="71" spans="1:18" x14ac:dyDescent="0.45">
      <c r="A71">
        <v>2022</v>
      </c>
      <c r="B71" t="s">
        <v>17</v>
      </c>
      <c r="C71">
        <v>12</v>
      </c>
      <c r="D71" t="s">
        <v>37</v>
      </c>
      <c r="E71" t="s">
        <v>30</v>
      </c>
      <c r="F71">
        <v>254.8</v>
      </c>
      <c r="G71">
        <v>10</v>
      </c>
      <c r="H71">
        <v>15</v>
      </c>
      <c r="I71">
        <v>93</v>
      </c>
      <c r="J71">
        <v>49.93</v>
      </c>
      <c r="K71">
        <v>43.07</v>
      </c>
      <c r="L71">
        <v>161.80000000000001</v>
      </c>
      <c r="M71">
        <v>76.599999999999994</v>
      </c>
      <c r="N71">
        <v>86.2</v>
      </c>
      <c r="O71">
        <f t="shared" si="3"/>
        <v>126.53</v>
      </c>
      <c r="P71">
        <f t="shared" si="4"/>
        <v>129.27000000000001</v>
      </c>
      <c r="Q71" s="3">
        <f t="shared" si="5"/>
        <v>0.49464425332290851</v>
      </c>
      <c r="R71">
        <v>0</v>
      </c>
    </row>
    <row r="72" spans="1:18" x14ac:dyDescent="0.45">
      <c r="A72">
        <v>2022</v>
      </c>
      <c r="B72" t="s">
        <v>17</v>
      </c>
      <c r="C72">
        <v>13</v>
      </c>
      <c r="D72" t="s">
        <v>47</v>
      </c>
      <c r="E72" t="s">
        <v>48</v>
      </c>
      <c r="F72">
        <v>252.71</v>
      </c>
      <c r="G72">
        <v>16</v>
      </c>
      <c r="H72">
        <v>12</v>
      </c>
      <c r="I72">
        <v>85.3</v>
      </c>
      <c r="J72">
        <v>43.08</v>
      </c>
      <c r="K72">
        <v>42.22</v>
      </c>
      <c r="L72">
        <v>167.41</v>
      </c>
      <c r="M72">
        <v>84.75</v>
      </c>
      <c r="N72">
        <v>83.66</v>
      </c>
      <c r="O72">
        <f t="shared" si="3"/>
        <v>127.83</v>
      </c>
      <c r="P72">
        <f t="shared" si="4"/>
        <v>125.88</v>
      </c>
      <c r="Q72" s="3">
        <f t="shared" si="5"/>
        <v>0.50384297032044467</v>
      </c>
      <c r="R72">
        <v>0</v>
      </c>
    </row>
    <row r="73" spans="1:18" x14ac:dyDescent="0.45">
      <c r="A73">
        <v>2022</v>
      </c>
      <c r="B73" t="s">
        <v>17</v>
      </c>
      <c r="C73">
        <v>14</v>
      </c>
      <c r="D73" t="s">
        <v>29</v>
      </c>
      <c r="E73" t="s">
        <v>30</v>
      </c>
      <c r="F73">
        <v>250.15</v>
      </c>
      <c r="G73">
        <v>14</v>
      </c>
      <c r="H73">
        <v>13</v>
      </c>
      <c r="I73">
        <v>86.74</v>
      </c>
      <c r="J73">
        <v>47.28</v>
      </c>
      <c r="K73">
        <v>40.46</v>
      </c>
      <c r="L73">
        <v>163.41</v>
      </c>
      <c r="M73">
        <v>81.69</v>
      </c>
      <c r="N73">
        <v>82.72</v>
      </c>
      <c r="O73">
        <f t="shared" si="3"/>
        <v>128.97</v>
      </c>
      <c r="P73">
        <f t="shared" si="4"/>
        <v>123.18</v>
      </c>
      <c r="Q73" s="3">
        <f t="shared" si="5"/>
        <v>0.51148126115407488</v>
      </c>
      <c r="R73">
        <v>0</v>
      </c>
    </row>
    <row r="74" spans="1:18" x14ac:dyDescent="0.45">
      <c r="A74">
        <v>2022</v>
      </c>
      <c r="B74" t="s">
        <v>17</v>
      </c>
      <c r="C74">
        <v>15</v>
      </c>
      <c r="D74" t="s">
        <v>116</v>
      </c>
      <c r="E74" t="s">
        <v>113</v>
      </c>
      <c r="F74">
        <v>248.82</v>
      </c>
      <c r="G74">
        <v>15</v>
      </c>
      <c r="H74">
        <v>14</v>
      </c>
      <c r="I74">
        <v>85.3</v>
      </c>
      <c r="J74">
        <v>43.08</v>
      </c>
      <c r="K74">
        <v>42.22</v>
      </c>
      <c r="L74">
        <v>162.71</v>
      </c>
      <c r="M74">
        <v>80.150000000000006</v>
      </c>
      <c r="N74">
        <v>83.56</v>
      </c>
      <c r="O74">
        <f t="shared" si="3"/>
        <v>123.23</v>
      </c>
      <c r="P74">
        <f t="shared" si="4"/>
        <v>125.78</v>
      </c>
      <c r="Q74" s="3">
        <f t="shared" si="5"/>
        <v>0.4948797237058753</v>
      </c>
      <c r="R74">
        <v>0</v>
      </c>
    </row>
    <row r="75" spans="1:18" x14ac:dyDescent="0.45">
      <c r="A75">
        <v>2022</v>
      </c>
      <c r="B75" t="s">
        <v>17</v>
      </c>
      <c r="C75">
        <v>16</v>
      </c>
      <c r="D75" t="s">
        <v>42</v>
      </c>
      <c r="E75" t="s">
        <v>34</v>
      </c>
      <c r="F75">
        <v>247.53</v>
      </c>
      <c r="G75">
        <v>13</v>
      </c>
      <c r="H75">
        <v>17</v>
      </c>
      <c r="I75">
        <v>88.63</v>
      </c>
      <c r="J75">
        <v>46.71</v>
      </c>
      <c r="K75">
        <v>41.92</v>
      </c>
      <c r="L75">
        <v>158.9</v>
      </c>
      <c r="M75">
        <v>76.92</v>
      </c>
      <c r="N75">
        <v>82.98</v>
      </c>
      <c r="O75">
        <f t="shared" si="3"/>
        <v>123.63</v>
      </c>
      <c r="P75">
        <f t="shared" si="4"/>
        <v>124.9</v>
      </c>
      <c r="Q75" s="3">
        <f t="shared" si="5"/>
        <v>0.49744497646159413</v>
      </c>
      <c r="R75">
        <v>0</v>
      </c>
    </row>
    <row r="76" spans="1:18" x14ac:dyDescent="0.45">
      <c r="A76">
        <v>2022</v>
      </c>
      <c r="B76" t="s">
        <v>17</v>
      </c>
      <c r="C76">
        <v>17</v>
      </c>
      <c r="D76" t="s">
        <v>117</v>
      </c>
      <c r="E76" t="s">
        <v>118</v>
      </c>
      <c r="F76">
        <v>244.8</v>
      </c>
      <c r="G76">
        <v>17</v>
      </c>
      <c r="H76">
        <v>16</v>
      </c>
      <c r="I76">
        <v>84.79</v>
      </c>
      <c r="J76">
        <v>45.93</v>
      </c>
      <c r="K76">
        <v>38.86</v>
      </c>
      <c r="L76">
        <v>160.01</v>
      </c>
      <c r="M76">
        <v>83.51</v>
      </c>
      <c r="N76">
        <v>76.5</v>
      </c>
      <c r="O76">
        <f t="shared" si="3"/>
        <v>129.44</v>
      </c>
      <c r="P76">
        <f t="shared" si="4"/>
        <v>115.36</v>
      </c>
      <c r="Q76" s="3">
        <f t="shared" si="5"/>
        <v>0.52875816993464053</v>
      </c>
      <c r="R76">
        <v>0</v>
      </c>
    </row>
    <row r="77" spans="1:18" x14ac:dyDescent="0.45">
      <c r="A77">
        <v>2022</v>
      </c>
      <c r="B77" t="s">
        <v>17</v>
      </c>
      <c r="C77">
        <v>18</v>
      </c>
      <c r="D77" t="s">
        <v>66</v>
      </c>
      <c r="E77" t="s">
        <v>67</v>
      </c>
      <c r="F77">
        <v>239.19</v>
      </c>
      <c r="G77">
        <v>18</v>
      </c>
      <c r="H77">
        <v>19</v>
      </c>
      <c r="I77">
        <v>84.15</v>
      </c>
      <c r="J77">
        <v>47.14</v>
      </c>
      <c r="K77">
        <v>37.01</v>
      </c>
      <c r="L77">
        <v>155.04</v>
      </c>
      <c r="M77">
        <v>80.760000000000005</v>
      </c>
      <c r="N77">
        <v>74.28</v>
      </c>
      <c r="O77">
        <f t="shared" si="3"/>
        <v>127.9</v>
      </c>
      <c r="P77">
        <f t="shared" si="4"/>
        <v>111.28999999999999</v>
      </c>
      <c r="Q77" s="3">
        <f t="shared" si="5"/>
        <v>0.53472135122705799</v>
      </c>
      <c r="R77">
        <v>0</v>
      </c>
    </row>
    <row r="78" spans="1:18" x14ac:dyDescent="0.45">
      <c r="A78">
        <v>2022</v>
      </c>
      <c r="B78" t="s">
        <v>17</v>
      </c>
      <c r="C78">
        <v>19</v>
      </c>
      <c r="D78" t="s">
        <v>119</v>
      </c>
      <c r="E78" t="s">
        <v>113</v>
      </c>
      <c r="F78">
        <v>233.33</v>
      </c>
      <c r="G78">
        <v>23</v>
      </c>
      <c r="H78">
        <v>18</v>
      </c>
      <c r="I78">
        <v>77.05</v>
      </c>
      <c r="J78">
        <v>36.76</v>
      </c>
      <c r="K78">
        <v>41.29</v>
      </c>
      <c r="L78">
        <v>156.28</v>
      </c>
      <c r="M78">
        <v>79.48</v>
      </c>
      <c r="N78">
        <v>78.8</v>
      </c>
      <c r="O78">
        <f t="shared" si="3"/>
        <v>116.24000000000001</v>
      </c>
      <c r="P78">
        <f t="shared" si="4"/>
        <v>120.09</v>
      </c>
      <c r="Q78" s="3">
        <f t="shared" si="5"/>
        <v>0.49185461007912668</v>
      </c>
      <c r="R78">
        <v>0</v>
      </c>
    </row>
    <row r="79" spans="1:18" x14ac:dyDescent="0.45">
      <c r="A79">
        <v>2022</v>
      </c>
      <c r="B79" t="s">
        <v>17</v>
      </c>
      <c r="C79">
        <v>20</v>
      </c>
      <c r="D79" t="s">
        <v>120</v>
      </c>
      <c r="E79" t="s">
        <v>121</v>
      </c>
      <c r="F79">
        <v>222.22</v>
      </c>
      <c r="G79">
        <v>21</v>
      </c>
      <c r="H79">
        <v>20</v>
      </c>
      <c r="I79">
        <v>78.489999999999995</v>
      </c>
      <c r="J79">
        <v>41.92</v>
      </c>
      <c r="K79">
        <v>36.57</v>
      </c>
      <c r="L79">
        <v>143.72999999999999</v>
      </c>
      <c r="M79">
        <v>71.349999999999994</v>
      </c>
      <c r="N79">
        <v>72.38</v>
      </c>
      <c r="O79">
        <f t="shared" si="3"/>
        <v>113.27</v>
      </c>
      <c r="P79">
        <f t="shared" si="4"/>
        <v>108.94999999999999</v>
      </c>
      <c r="Q79" s="3">
        <f t="shared" si="5"/>
        <v>0.50972009720097211</v>
      </c>
      <c r="R79">
        <v>0</v>
      </c>
    </row>
    <row r="80" spans="1:18" x14ac:dyDescent="0.45">
      <c r="A80">
        <v>2022</v>
      </c>
      <c r="B80" t="s">
        <v>17</v>
      </c>
      <c r="C80">
        <v>21</v>
      </c>
      <c r="D80" t="s">
        <v>122</v>
      </c>
      <c r="E80" t="s">
        <v>64</v>
      </c>
      <c r="F80">
        <v>220.78</v>
      </c>
      <c r="G80">
        <v>20</v>
      </c>
      <c r="H80">
        <v>21</v>
      </c>
      <c r="I80">
        <v>78.540000000000006</v>
      </c>
      <c r="J80">
        <v>41.22</v>
      </c>
      <c r="K80">
        <v>37.32</v>
      </c>
      <c r="L80">
        <v>142.24</v>
      </c>
      <c r="M80">
        <v>67.599999999999994</v>
      </c>
      <c r="N80">
        <v>74.64</v>
      </c>
      <c r="O80">
        <f t="shared" si="3"/>
        <v>108.82</v>
      </c>
      <c r="P80">
        <f t="shared" si="4"/>
        <v>111.96000000000001</v>
      </c>
      <c r="Q80" s="3">
        <f t="shared" si="5"/>
        <v>0.49288884862759302</v>
      </c>
      <c r="R80">
        <v>0</v>
      </c>
    </row>
    <row r="81" spans="1:18" x14ac:dyDescent="0.45">
      <c r="A81">
        <v>2022</v>
      </c>
      <c r="B81" t="s">
        <v>17</v>
      </c>
      <c r="C81">
        <v>22</v>
      </c>
      <c r="D81" t="s">
        <v>54</v>
      </c>
      <c r="E81" t="s">
        <v>55</v>
      </c>
      <c r="F81">
        <v>218.13</v>
      </c>
      <c r="G81">
        <v>19</v>
      </c>
      <c r="H81">
        <v>22</v>
      </c>
      <c r="I81">
        <v>79.69</v>
      </c>
      <c r="J81">
        <v>43.08</v>
      </c>
      <c r="K81">
        <v>36.61</v>
      </c>
      <c r="L81">
        <v>138.44</v>
      </c>
      <c r="M81">
        <v>66.56</v>
      </c>
      <c r="N81">
        <v>72.88</v>
      </c>
      <c r="O81">
        <f t="shared" si="3"/>
        <v>109.64</v>
      </c>
      <c r="P81">
        <f t="shared" si="4"/>
        <v>109.49</v>
      </c>
      <c r="Q81" s="3">
        <f t="shared" si="5"/>
        <v>0.50034226258385439</v>
      </c>
      <c r="R81">
        <v>0</v>
      </c>
    </row>
    <row r="82" spans="1:18" x14ac:dyDescent="0.45">
      <c r="A82">
        <v>2022</v>
      </c>
      <c r="B82" t="s">
        <v>17</v>
      </c>
      <c r="C82">
        <v>23</v>
      </c>
      <c r="D82" t="s">
        <v>40</v>
      </c>
      <c r="E82" t="s">
        <v>41</v>
      </c>
      <c r="F82">
        <v>212.58</v>
      </c>
      <c r="G82">
        <v>24</v>
      </c>
      <c r="H82">
        <v>23</v>
      </c>
      <c r="I82">
        <v>76.16</v>
      </c>
      <c r="J82">
        <v>39.76</v>
      </c>
      <c r="K82">
        <v>36.4</v>
      </c>
      <c r="L82">
        <v>136.41999999999999</v>
      </c>
      <c r="M82">
        <v>64.72</v>
      </c>
      <c r="N82">
        <v>71.7</v>
      </c>
      <c r="O82">
        <f t="shared" si="3"/>
        <v>104.47999999999999</v>
      </c>
      <c r="P82">
        <f t="shared" si="4"/>
        <v>108.1</v>
      </c>
      <c r="Q82" s="3">
        <f t="shared" si="5"/>
        <v>0.49148555837802238</v>
      </c>
      <c r="R82">
        <v>0</v>
      </c>
    </row>
    <row r="83" spans="1:18" x14ac:dyDescent="0.45">
      <c r="A83">
        <v>2022</v>
      </c>
      <c r="B83" t="s">
        <v>17</v>
      </c>
      <c r="C83">
        <v>24</v>
      </c>
      <c r="D83" t="s">
        <v>123</v>
      </c>
      <c r="E83" t="s">
        <v>50</v>
      </c>
      <c r="F83">
        <v>205.76</v>
      </c>
      <c r="G83">
        <v>22</v>
      </c>
      <c r="H83">
        <v>24</v>
      </c>
      <c r="I83">
        <v>78.11</v>
      </c>
      <c r="J83">
        <v>41.08</v>
      </c>
      <c r="K83">
        <v>37.03</v>
      </c>
      <c r="L83">
        <v>127.65</v>
      </c>
      <c r="M83">
        <v>57.17</v>
      </c>
      <c r="N83">
        <v>71.48</v>
      </c>
      <c r="O83">
        <f t="shared" si="3"/>
        <v>98.25</v>
      </c>
      <c r="P83">
        <f t="shared" si="4"/>
        <v>108.51</v>
      </c>
      <c r="Q83" s="3">
        <f t="shared" si="5"/>
        <v>0.47518862449216487</v>
      </c>
      <c r="R83">
        <v>0</v>
      </c>
    </row>
    <row r="84" spans="1:18" x14ac:dyDescent="0.45">
      <c r="A84">
        <v>2022</v>
      </c>
      <c r="B84" t="s">
        <v>17</v>
      </c>
      <c r="C84" t="s">
        <v>69</v>
      </c>
      <c r="D84" t="s">
        <v>124</v>
      </c>
      <c r="E84" t="s">
        <v>125</v>
      </c>
      <c r="F84">
        <v>75.19</v>
      </c>
      <c r="G84">
        <v>25</v>
      </c>
      <c r="H84">
        <v>0</v>
      </c>
      <c r="I84">
        <v>75.19</v>
      </c>
      <c r="J84">
        <v>36.69</v>
      </c>
      <c r="K84">
        <v>39.5</v>
      </c>
      <c r="L84">
        <v>0</v>
      </c>
      <c r="M84">
        <v>0</v>
      </c>
      <c r="N84">
        <v>0</v>
      </c>
      <c r="O84">
        <f t="shared" si="3"/>
        <v>36.69</v>
      </c>
      <c r="P84">
        <f t="shared" si="4"/>
        <v>39.5</v>
      </c>
      <c r="Q84" s="3">
        <f t="shared" si="5"/>
        <v>0.48155925974537339</v>
      </c>
      <c r="R84">
        <v>0</v>
      </c>
    </row>
    <row r="85" spans="1:18" x14ac:dyDescent="0.45">
      <c r="A85">
        <v>2022</v>
      </c>
      <c r="B85" t="s">
        <v>17</v>
      </c>
      <c r="C85" t="s">
        <v>69</v>
      </c>
      <c r="D85" t="s">
        <v>126</v>
      </c>
      <c r="E85" t="s">
        <v>99</v>
      </c>
      <c r="F85">
        <v>68.010000000000005</v>
      </c>
      <c r="G85">
        <v>26</v>
      </c>
      <c r="H85">
        <v>0</v>
      </c>
      <c r="I85">
        <v>68.010000000000005</v>
      </c>
      <c r="J85">
        <v>33.020000000000003</v>
      </c>
      <c r="K85">
        <v>35.99</v>
      </c>
      <c r="L85">
        <v>0</v>
      </c>
      <c r="M85">
        <v>0</v>
      </c>
      <c r="N85">
        <v>0</v>
      </c>
      <c r="O85">
        <f t="shared" si="3"/>
        <v>33.020000000000003</v>
      </c>
      <c r="P85">
        <f t="shared" si="4"/>
        <v>35.99</v>
      </c>
      <c r="Q85" s="3">
        <f t="shared" si="5"/>
        <v>0.47848137951021591</v>
      </c>
      <c r="R85">
        <v>0</v>
      </c>
    </row>
    <row r="86" spans="1:18" x14ac:dyDescent="0.45">
      <c r="A86">
        <v>2022</v>
      </c>
      <c r="B86" t="s">
        <v>17</v>
      </c>
      <c r="C86" t="s">
        <v>69</v>
      </c>
      <c r="D86" t="s">
        <v>127</v>
      </c>
      <c r="E86" t="s">
        <v>24</v>
      </c>
      <c r="F86">
        <v>65.69</v>
      </c>
      <c r="G86">
        <v>27</v>
      </c>
      <c r="H86">
        <v>0</v>
      </c>
      <c r="I86">
        <v>65.69</v>
      </c>
      <c r="J86">
        <v>30.75</v>
      </c>
      <c r="K86">
        <v>35.94</v>
      </c>
      <c r="L86">
        <v>0</v>
      </c>
      <c r="M86">
        <v>0</v>
      </c>
      <c r="N86">
        <v>0</v>
      </c>
      <c r="O86">
        <f t="shared" si="3"/>
        <v>30.75</v>
      </c>
      <c r="P86">
        <f t="shared" si="4"/>
        <v>35.94</v>
      </c>
      <c r="Q86" s="3">
        <f t="shared" si="5"/>
        <v>0.46108861898335585</v>
      </c>
      <c r="R86">
        <v>0</v>
      </c>
    </row>
    <row r="87" spans="1:18" x14ac:dyDescent="0.45">
      <c r="A87">
        <v>2022</v>
      </c>
      <c r="B87" t="s">
        <v>17</v>
      </c>
      <c r="C87" t="s">
        <v>69</v>
      </c>
      <c r="D87" t="s">
        <v>43</v>
      </c>
      <c r="E87" t="s">
        <v>44</v>
      </c>
      <c r="F87">
        <v>65.290000000000006</v>
      </c>
      <c r="G87">
        <v>28</v>
      </c>
      <c r="H87">
        <v>0</v>
      </c>
      <c r="I87">
        <v>65.290000000000006</v>
      </c>
      <c r="J87">
        <v>28.79</v>
      </c>
      <c r="K87">
        <v>36.5</v>
      </c>
      <c r="L87">
        <v>0</v>
      </c>
      <c r="M87">
        <v>0</v>
      </c>
      <c r="N87">
        <v>0</v>
      </c>
      <c r="O87">
        <f t="shared" si="3"/>
        <v>28.79</v>
      </c>
      <c r="P87">
        <f t="shared" si="4"/>
        <v>36.5</v>
      </c>
      <c r="Q87" s="3">
        <f t="shared" si="5"/>
        <v>0.44095573594731202</v>
      </c>
      <c r="R87">
        <v>0</v>
      </c>
    </row>
    <row r="88" spans="1:18" x14ac:dyDescent="0.45">
      <c r="A88">
        <v>2022</v>
      </c>
      <c r="B88" t="s">
        <v>17</v>
      </c>
      <c r="C88" t="s">
        <v>69</v>
      </c>
      <c r="D88" t="s">
        <v>128</v>
      </c>
      <c r="E88" t="s">
        <v>26</v>
      </c>
      <c r="F88">
        <v>62.77</v>
      </c>
      <c r="G88">
        <v>29</v>
      </c>
      <c r="H88">
        <v>0</v>
      </c>
      <c r="I88">
        <v>62.77</v>
      </c>
      <c r="J88">
        <v>24.99</v>
      </c>
      <c r="K88">
        <v>37.78</v>
      </c>
      <c r="L88">
        <v>0</v>
      </c>
      <c r="M88">
        <v>0</v>
      </c>
      <c r="N88">
        <v>0</v>
      </c>
      <c r="O88">
        <f t="shared" si="3"/>
        <v>24.99</v>
      </c>
      <c r="P88">
        <f t="shared" si="4"/>
        <v>37.78</v>
      </c>
      <c r="Q88" s="3">
        <f t="shared" si="5"/>
        <v>0.39812012107694761</v>
      </c>
      <c r="R88">
        <v>0</v>
      </c>
    </row>
    <row r="89" spans="1:18" x14ac:dyDescent="0.45">
      <c r="A89">
        <v>2022</v>
      </c>
      <c r="B89" t="s">
        <v>17</v>
      </c>
      <c r="C89" t="s">
        <v>129</v>
      </c>
      <c r="D89" t="s">
        <v>130</v>
      </c>
      <c r="E89" t="s">
        <v>32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f t="shared" si="3"/>
        <v>0</v>
      </c>
      <c r="P89">
        <f t="shared" si="4"/>
        <v>0</v>
      </c>
      <c r="Q89" s="3">
        <v>0</v>
      </c>
      <c r="R89">
        <v>0</v>
      </c>
    </row>
    <row r="90" spans="1:18" x14ac:dyDescent="0.45">
      <c r="A90">
        <v>2022</v>
      </c>
      <c r="B90" t="s">
        <v>70</v>
      </c>
      <c r="C90">
        <v>1</v>
      </c>
      <c r="D90" t="s">
        <v>131</v>
      </c>
      <c r="E90" t="s">
        <v>113</v>
      </c>
      <c r="F90">
        <v>255.95</v>
      </c>
      <c r="G90">
        <v>2</v>
      </c>
      <c r="H90">
        <v>2</v>
      </c>
      <c r="I90">
        <v>80.2</v>
      </c>
      <c r="J90">
        <v>42.87</v>
      </c>
      <c r="K90">
        <v>37.33</v>
      </c>
      <c r="L90">
        <v>175.75</v>
      </c>
      <c r="M90">
        <v>100.49</v>
      </c>
      <c r="N90">
        <v>75.260000000000005</v>
      </c>
      <c r="O90">
        <f t="shared" si="3"/>
        <v>143.35999999999999</v>
      </c>
      <c r="P90">
        <f t="shared" si="4"/>
        <v>112.59</v>
      </c>
      <c r="Q90" s="3">
        <f t="shared" si="5"/>
        <v>0.56010939636647783</v>
      </c>
      <c r="R90">
        <v>1</v>
      </c>
    </row>
    <row r="91" spans="1:18" x14ac:dyDescent="0.45">
      <c r="A91">
        <v>2022</v>
      </c>
      <c r="B91" t="s">
        <v>70</v>
      </c>
      <c r="C91">
        <v>2</v>
      </c>
      <c r="D91" t="s">
        <v>132</v>
      </c>
      <c r="E91" t="s">
        <v>113</v>
      </c>
      <c r="F91">
        <v>251.73</v>
      </c>
      <c r="G91">
        <v>4</v>
      </c>
      <c r="H91">
        <v>1</v>
      </c>
      <c r="I91">
        <v>74.599999999999994</v>
      </c>
      <c r="J91">
        <v>40.119999999999997</v>
      </c>
      <c r="K91">
        <v>35.479999999999997</v>
      </c>
      <c r="L91">
        <v>177.13</v>
      </c>
      <c r="M91">
        <v>106.16</v>
      </c>
      <c r="N91">
        <v>70.97</v>
      </c>
      <c r="O91">
        <f t="shared" si="3"/>
        <v>146.28</v>
      </c>
      <c r="P91">
        <f t="shared" si="4"/>
        <v>106.44999999999999</v>
      </c>
      <c r="Q91" s="3">
        <f t="shared" si="5"/>
        <v>0.57879950935781266</v>
      </c>
      <c r="R91">
        <v>2</v>
      </c>
    </row>
    <row r="92" spans="1:18" x14ac:dyDescent="0.45">
      <c r="A92">
        <v>2022</v>
      </c>
      <c r="B92" t="s">
        <v>70</v>
      </c>
      <c r="C92">
        <v>3</v>
      </c>
      <c r="D92" t="s">
        <v>72</v>
      </c>
      <c r="E92" t="s">
        <v>21</v>
      </c>
      <c r="F92">
        <v>233.13</v>
      </c>
      <c r="G92">
        <v>3</v>
      </c>
      <c r="H92">
        <v>3</v>
      </c>
      <c r="I92">
        <v>79.84</v>
      </c>
      <c r="J92">
        <v>43.22</v>
      </c>
      <c r="K92">
        <v>36.619999999999997</v>
      </c>
      <c r="L92">
        <v>153.29</v>
      </c>
      <c r="M92">
        <v>78.900000000000006</v>
      </c>
      <c r="N92">
        <v>74.39</v>
      </c>
      <c r="O92">
        <f t="shared" si="3"/>
        <v>122.12</v>
      </c>
      <c r="P92">
        <f t="shared" si="4"/>
        <v>111.00999999999999</v>
      </c>
      <c r="Q92" s="3">
        <f t="shared" si="5"/>
        <v>0.5238279071762536</v>
      </c>
      <c r="R92">
        <v>3</v>
      </c>
    </row>
    <row r="93" spans="1:18" x14ac:dyDescent="0.45">
      <c r="A93">
        <v>2022</v>
      </c>
      <c r="B93" t="s">
        <v>70</v>
      </c>
      <c r="C93">
        <v>4</v>
      </c>
      <c r="D93" t="s">
        <v>133</v>
      </c>
      <c r="E93" t="s">
        <v>21</v>
      </c>
      <c r="F93">
        <v>214.44</v>
      </c>
      <c r="G93">
        <v>5</v>
      </c>
      <c r="H93">
        <v>6</v>
      </c>
      <c r="I93">
        <v>73.510000000000005</v>
      </c>
      <c r="J93">
        <v>39.53</v>
      </c>
      <c r="K93">
        <v>33.979999999999997</v>
      </c>
      <c r="L93">
        <v>140.93</v>
      </c>
      <c r="M93">
        <v>72.67</v>
      </c>
      <c r="N93">
        <v>69.260000000000005</v>
      </c>
      <c r="O93">
        <f t="shared" si="3"/>
        <v>112.2</v>
      </c>
      <c r="P93">
        <f t="shared" si="4"/>
        <v>103.24000000000001</v>
      </c>
      <c r="Q93" s="3">
        <f t="shared" si="5"/>
        <v>0.52079465280356485</v>
      </c>
      <c r="R93">
        <v>0</v>
      </c>
    </row>
    <row r="94" spans="1:18" x14ac:dyDescent="0.45">
      <c r="A94">
        <v>2022</v>
      </c>
      <c r="B94" t="s">
        <v>70</v>
      </c>
      <c r="C94">
        <v>5</v>
      </c>
      <c r="D94" t="s">
        <v>134</v>
      </c>
      <c r="E94" t="s">
        <v>24</v>
      </c>
      <c r="F94">
        <v>213.09</v>
      </c>
      <c r="G94">
        <v>6</v>
      </c>
      <c r="H94">
        <v>4</v>
      </c>
      <c r="I94">
        <v>70.34</v>
      </c>
      <c r="J94">
        <v>36.799999999999997</v>
      </c>
      <c r="K94">
        <v>33.54</v>
      </c>
      <c r="L94">
        <v>142.75</v>
      </c>
      <c r="M94">
        <v>74.16</v>
      </c>
      <c r="N94">
        <v>68.59</v>
      </c>
      <c r="O94">
        <f t="shared" si="3"/>
        <v>110.96</v>
      </c>
      <c r="P94">
        <f t="shared" si="4"/>
        <v>102.13</v>
      </c>
      <c r="Q94" s="3">
        <f t="shared" si="5"/>
        <v>0.52071894504669392</v>
      </c>
      <c r="R94">
        <v>0</v>
      </c>
    </row>
    <row r="95" spans="1:18" x14ac:dyDescent="0.45">
      <c r="A95">
        <v>2022</v>
      </c>
      <c r="B95" t="s">
        <v>70</v>
      </c>
      <c r="C95">
        <v>6</v>
      </c>
      <c r="D95" t="s">
        <v>71</v>
      </c>
      <c r="E95" t="s">
        <v>32</v>
      </c>
      <c r="F95">
        <v>208.95</v>
      </c>
      <c r="G95">
        <v>8</v>
      </c>
      <c r="H95">
        <v>7</v>
      </c>
      <c r="I95">
        <v>69.5</v>
      </c>
      <c r="J95">
        <v>36.85</v>
      </c>
      <c r="K95">
        <v>32.65</v>
      </c>
      <c r="L95">
        <v>139.44999999999999</v>
      </c>
      <c r="M95">
        <v>71.95</v>
      </c>
      <c r="N95">
        <v>67.5</v>
      </c>
      <c r="O95">
        <f t="shared" si="3"/>
        <v>108.80000000000001</v>
      </c>
      <c r="P95">
        <f t="shared" si="4"/>
        <v>100.15</v>
      </c>
      <c r="Q95" s="3">
        <f t="shared" si="5"/>
        <v>0.52069873175400816</v>
      </c>
      <c r="R95">
        <v>0</v>
      </c>
    </row>
    <row r="96" spans="1:18" x14ac:dyDescent="0.45">
      <c r="A96">
        <v>2022</v>
      </c>
      <c r="B96" t="s">
        <v>70</v>
      </c>
      <c r="C96">
        <v>7</v>
      </c>
      <c r="D96" t="s">
        <v>85</v>
      </c>
      <c r="E96" t="s">
        <v>84</v>
      </c>
      <c r="F96">
        <v>206.79</v>
      </c>
      <c r="G96">
        <v>7</v>
      </c>
      <c r="H96">
        <v>9</v>
      </c>
      <c r="I96">
        <v>70.09</v>
      </c>
      <c r="J96">
        <v>36.090000000000003</v>
      </c>
      <c r="K96">
        <v>34</v>
      </c>
      <c r="L96">
        <v>136.69999999999999</v>
      </c>
      <c r="M96">
        <v>66.19</v>
      </c>
      <c r="N96">
        <v>70.510000000000005</v>
      </c>
      <c r="O96">
        <f t="shared" si="3"/>
        <v>102.28</v>
      </c>
      <c r="P96">
        <f t="shared" si="4"/>
        <v>104.51</v>
      </c>
      <c r="Q96" s="3">
        <f t="shared" si="5"/>
        <v>0.49460805648242173</v>
      </c>
      <c r="R96">
        <v>0</v>
      </c>
    </row>
    <row r="97" spans="1:18" x14ac:dyDescent="0.45">
      <c r="A97">
        <v>2022</v>
      </c>
      <c r="B97" t="s">
        <v>70</v>
      </c>
      <c r="C97">
        <v>8</v>
      </c>
      <c r="D97" t="s">
        <v>135</v>
      </c>
      <c r="E97" t="s">
        <v>24</v>
      </c>
      <c r="F97">
        <v>202.63</v>
      </c>
      <c r="G97">
        <v>9</v>
      </c>
      <c r="H97">
        <v>11</v>
      </c>
      <c r="I97">
        <v>67.78</v>
      </c>
      <c r="J97">
        <v>35.270000000000003</v>
      </c>
      <c r="K97">
        <v>32.51</v>
      </c>
      <c r="L97">
        <v>134.85</v>
      </c>
      <c r="M97">
        <v>68.61</v>
      </c>
      <c r="N97">
        <v>66.239999999999995</v>
      </c>
      <c r="O97">
        <f t="shared" si="3"/>
        <v>103.88</v>
      </c>
      <c r="P97">
        <f t="shared" si="4"/>
        <v>98.75</v>
      </c>
      <c r="Q97" s="3">
        <f t="shared" si="5"/>
        <v>0.5126585401964171</v>
      </c>
      <c r="R97">
        <v>0</v>
      </c>
    </row>
    <row r="98" spans="1:18" x14ac:dyDescent="0.45">
      <c r="A98">
        <v>2022</v>
      </c>
      <c r="B98" t="s">
        <v>70</v>
      </c>
      <c r="C98">
        <v>9</v>
      </c>
      <c r="D98" t="s">
        <v>136</v>
      </c>
      <c r="E98" t="s">
        <v>32</v>
      </c>
      <c r="F98">
        <v>202.3</v>
      </c>
      <c r="G98">
        <v>11</v>
      </c>
      <c r="H98">
        <v>8</v>
      </c>
      <c r="I98">
        <v>65.38</v>
      </c>
      <c r="J98">
        <v>33.43</v>
      </c>
      <c r="K98">
        <v>32.950000000000003</v>
      </c>
      <c r="L98">
        <v>136.91999999999999</v>
      </c>
      <c r="M98">
        <v>68.25</v>
      </c>
      <c r="N98">
        <v>68.67</v>
      </c>
      <c r="O98">
        <f t="shared" si="3"/>
        <v>101.68</v>
      </c>
      <c r="P98">
        <f t="shared" si="4"/>
        <v>101.62</v>
      </c>
      <c r="Q98" s="3">
        <f t="shared" si="5"/>
        <v>0.50014756517461878</v>
      </c>
      <c r="R98">
        <v>0</v>
      </c>
    </row>
    <row r="99" spans="1:18" x14ac:dyDescent="0.45">
      <c r="A99">
        <v>2022</v>
      </c>
      <c r="B99" t="s">
        <v>70</v>
      </c>
      <c r="C99">
        <v>10</v>
      </c>
      <c r="D99" t="s">
        <v>79</v>
      </c>
      <c r="E99" t="s">
        <v>36</v>
      </c>
      <c r="F99">
        <v>200.98</v>
      </c>
      <c r="G99">
        <v>10</v>
      </c>
      <c r="H99">
        <v>10</v>
      </c>
      <c r="I99">
        <v>65.400000000000006</v>
      </c>
      <c r="J99">
        <v>34.43</v>
      </c>
      <c r="K99">
        <v>30.97</v>
      </c>
      <c r="L99">
        <v>135.58000000000001</v>
      </c>
      <c r="M99">
        <v>70.06</v>
      </c>
      <c r="N99">
        <v>65.52</v>
      </c>
      <c r="O99">
        <f t="shared" si="3"/>
        <v>104.49000000000001</v>
      </c>
      <c r="P99">
        <f t="shared" si="4"/>
        <v>96.49</v>
      </c>
      <c r="Q99" s="3">
        <f t="shared" si="5"/>
        <v>0.51990247785849342</v>
      </c>
      <c r="R99">
        <v>0</v>
      </c>
    </row>
    <row r="100" spans="1:18" x14ac:dyDescent="0.45">
      <c r="A100">
        <v>2022</v>
      </c>
      <c r="B100" t="s">
        <v>70</v>
      </c>
      <c r="C100">
        <v>11</v>
      </c>
      <c r="D100" t="s">
        <v>94</v>
      </c>
      <c r="E100" t="s">
        <v>53</v>
      </c>
      <c r="F100">
        <v>185.84</v>
      </c>
      <c r="G100">
        <v>24</v>
      </c>
      <c r="H100">
        <v>12</v>
      </c>
      <c r="I100">
        <v>59.08</v>
      </c>
      <c r="J100">
        <v>28.42</v>
      </c>
      <c r="K100">
        <v>30.66</v>
      </c>
      <c r="L100">
        <v>126.76</v>
      </c>
      <c r="M100">
        <v>66.239999999999995</v>
      </c>
      <c r="N100">
        <v>60.52</v>
      </c>
      <c r="O100">
        <f t="shared" si="3"/>
        <v>94.66</v>
      </c>
      <c r="P100">
        <f t="shared" si="4"/>
        <v>91.18</v>
      </c>
      <c r="Q100" s="3">
        <f t="shared" si="5"/>
        <v>0.50936289281102021</v>
      </c>
      <c r="R100">
        <v>0</v>
      </c>
    </row>
    <row r="101" spans="1:18" x14ac:dyDescent="0.45">
      <c r="A101">
        <v>2022</v>
      </c>
      <c r="B101" t="s">
        <v>70</v>
      </c>
      <c r="C101">
        <v>12</v>
      </c>
      <c r="D101" t="s">
        <v>101</v>
      </c>
      <c r="E101" t="s">
        <v>121</v>
      </c>
      <c r="F101">
        <v>184.83</v>
      </c>
      <c r="G101">
        <v>17</v>
      </c>
      <c r="H101">
        <v>13</v>
      </c>
      <c r="I101">
        <v>61.46</v>
      </c>
      <c r="J101">
        <v>32.72</v>
      </c>
      <c r="K101">
        <v>28.74</v>
      </c>
      <c r="L101">
        <v>123.37</v>
      </c>
      <c r="M101">
        <v>65.540000000000006</v>
      </c>
      <c r="N101">
        <v>57.83</v>
      </c>
      <c r="O101">
        <f t="shared" si="3"/>
        <v>98.26</v>
      </c>
      <c r="P101">
        <f t="shared" si="4"/>
        <v>86.57</v>
      </c>
      <c r="Q101" s="3">
        <f t="shared" si="5"/>
        <v>0.53162365416869561</v>
      </c>
      <c r="R101">
        <v>0</v>
      </c>
    </row>
    <row r="102" spans="1:18" x14ac:dyDescent="0.45">
      <c r="A102">
        <v>2022</v>
      </c>
      <c r="B102" t="s">
        <v>70</v>
      </c>
      <c r="C102">
        <v>13</v>
      </c>
      <c r="D102" t="s">
        <v>91</v>
      </c>
      <c r="E102" t="s">
        <v>92</v>
      </c>
      <c r="F102">
        <v>182.2</v>
      </c>
      <c r="G102">
        <v>18</v>
      </c>
      <c r="H102">
        <v>14</v>
      </c>
      <c r="I102">
        <v>61.14</v>
      </c>
      <c r="J102">
        <v>32.54</v>
      </c>
      <c r="K102">
        <v>28.6</v>
      </c>
      <c r="L102">
        <v>121.06</v>
      </c>
      <c r="M102">
        <v>61.12</v>
      </c>
      <c r="N102">
        <v>59.94</v>
      </c>
      <c r="O102">
        <f t="shared" si="3"/>
        <v>93.66</v>
      </c>
      <c r="P102">
        <f t="shared" si="4"/>
        <v>88.539999999999992</v>
      </c>
      <c r="Q102" s="3">
        <f t="shared" si="5"/>
        <v>0.51405049396267843</v>
      </c>
      <c r="R102">
        <v>0</v>
      </c>
    </row>
    <row r="103" spans="1:18" x14ac:dyDescent="0.45">
      <c r="A103">
        <v>2022</v>
      </c>
      <c r="B103" t="s">
        <v>70</v>
      </c>
      <c r="C103">
        <v>14</v>
      </c>
      <c r="D103" t="s">
        <v>137</v>
      </c>
      <c r="E103" t="s">
        <v>67</v>
      </c>
      <c r="F103">
        <v>179.97</v>
      </c>
      <c r="G103">
        <v>16</v>
      </c>
      <c r="H103">
        <v>15</v>
      </c>
      <c r="I103">
        <v>61.82</v>
      </c>
      <c r="J103">
        <v>32.43</v>
      </c>
      <c r="K103">
        <v>29.39</v>
      </c>
      <c r="L103">
        <v>118.15</v>
      </c>
      <c r="M103">
        <v>59.58</v>
      </c>
      <c r="N103">
        <v>58.57</v>
      </c>
      <c r="O103">
        <f t="shared" si="3"/>
        <v>92.009999999999991</v>
      </c>
      <c r="P103">
        <f t="shared" si="4"/>
        <v>87.960000000000008</v>
      </c>
      <c r="Q103" s="3">
        <f t="shared" si="5"/>
        <v>0.51125187531255201</v>
      </c>
      <c r="R103">
        <v>0</v>
      </c>
    </row>
    <row r="104" spans="1:18" x14ac:dyDescent="0.45">
      <c r="A104">
        <v>2022</v>
      </c>
      <c r="B104" t="s">
        <v>70</v>
      </c>
      <c r="C104">
        <v>15</v>
      </c>
      <c r="D104" t="s">
        <v>138</v>
      </c>
      <c r="E104" t="s">
        <v>32</v>
      </c>
      <c r="F104">
        <v>179.93</v>
      </c>
      <c r="G104">
        <v>13</v>
      </c>
      <c r="H104">
        <v>17</v>
      </c>
      <c r="I104">
        <v>64.11</v>
      </c>
      <c r="J104">
        <v>31.24</v>
      </c>
      <c r="K104">
        <v>33.869999999999997</v>
      </c>
      <c r="L104">
        <v>115.82</v>
      </c>
      <c r="M104">
        <v>51.61</v>
      </c>
      <c r="N104">
        <v>65.209999999999994</v>
      </c>
      <c r="O104">
        <f t="shared" si="3"/>
        <v>82.85</v>
      </c>
      <c r="P104">
        <f t="shared" si="4"/>
        <v>99.079999999999984</v>
      </c>
      <c r="Q104" s="3">
        <f t="shared" si="5"/>
        <v>0.4553949321167482</v>
      </c>
      <c r="R104">
        <v>0</v>
      </c>
    </row>
    <row r="105" spans="1:18" x14ac:dyDescent="0.45">
      <c r="A105">
        <v>2022</v>
      </c>
      <c r="B105" t="s">
        <v>70</v>
      </c>
      <c r="C105">
        <v>16</v>
      </c>
      <c r="D105" t="s">
        <v>139</v>
      </c>
      <c r="E105" t="s">
        <v>140</v>
      </c>
      <c r="F105">
        <v>177.65</v>
      </c>
      <c r="G105">
        <v>14</v>
      </c>
      <c r="H105">
        <v>19</v>
      </c>
      <c r="I105">
        <v>63.13</v>
      </c>
      <c r="J105">
        <v>33.01</v>
      </c>
      <c r="K105">
        <v>30.12</v>
      </c>
      <c r="L105">
        <v>114.52</v>
      </c>
      <c r="M105">
        <v>56.28</v>
      </c>
      <c r="N105">
        <v>60.24</v>
      </c>
      <c r="O105">
        <f t="shared" si="3"/>
        <v>89.289999999999992</v>
      </c>
      <c r="P105">
        <f t="shared" si="4"/>
        <v>90.36</v>
      </c>
      <c r="Q105" s="3">
        <f t="shared" si="5"/>
        <v>0.49702198719732815</v>
      </c>
      <c r="R105">
        <v>0</v>
      </c>
    </row>
    <row r="106" spans="1:18" x14ac:dyDescent="0.45">
      <c r="A106">
        <v>2022</v>
      </c>
      <c r="B106" t="s">
        <v>70</v>
      </c>
      <c r="C106">
        <v>17</v>
      </c>
      <c r="D106" t="s">
        <v>141</v>
      </c>
      <c r="E106" t="s">
        <v>142</v>
      </c>
      <c r="F106">
        <v>175.81</v>
      </c>
      <c r="G106">
        <v>22</v>
      </c>
      <c r="H106">
        <v>16</v>
      </c>
      <c r="I106">
        <v>59.24</v>
      </c>
      <c r="J106">
        <v>32.119999999999997</v>
      </c>
      <c r="K106">
        <v>27.12</v>
      </c>
      <c r="L106">
        <v>116.57</v>
      </c>
      <c r="M106">
        <v>61.74</v>
      </c>
      <c r="N106">
        <v>54.83</v>
      </c>
      <c r="O106">
        <f t="shared" si="3"/>
        <v>93.86</v>
      </c>
      <c r="P106">
        <f t="shared" si="4"/>
        <v>81.95</v>
      </c>
      <c r="Q106" s="3">
        <f t="shared" si="5"/>
        <v>0.5338717934133439</v>
      </c>
      <c r="R106">
        <v>0</v>
      </c>
    </row>
    <row r="107" spans="1:18" x14ac:dyDescent="0.45">
      <c r="A107">
        <v>2022</v>
      </c>
      <c r="B107" t="s">
        <v>70</v>
      </c>
      <c r="C107">
        <v>18</v>
      </c>
      <c r="D107" t="s">
        <v>100</v>
      </c>
      <c r="E107" t="s">
        <v>26</v>
      </c>
      <c r="F107">
        <v>175.56</v>
      </c>
      <c r="G107">
        <v>20</v>
      </c>
      <c r="H107">
        <v>18</v>
      </c>
      <c r="I107">
        <v>60.53</v>
      </c>
      <c r="J107">
        <v>29.61</v>
      </c>
      <c r="K107">
        <v>30.92</v>
      </c>
      <c r="L107">
        <v>115.03</v>
      </c>
      <c r="M107">
        <v>53.68</v>
      </c>
      <c r="N107">
        <v>62.35</v>
      </c>
      <c r="O107">
        <f t="shared" si="3"/>
        <v>83.289999999999992</v>
      </c>
      <c r="P107">
        <f t="shared" si="4"/>
        <v>93.27000000000001</v>
      </c>
      <c r="Q107" s="3">
        <f t="shared" si="5"/>
        <v>0.47173765292251918</v>
      </c>
      <c r="R107">
        <v>0</v>
      </c>
    </row>
    <row r="108" spans="1:18" x14ac:dyDescent="0.45">
      <c r="A108">
        <v>2022</v>
      </c>
      <c r="B108" t="s">
        <v>70</v>
      </c>
      <c r="C108">
        <v>19</v>
      </c>
      <c r="D108" t="s">
        <v>143</v>
      </c>
      <c r="E108" t="s">
        <v>125</v>
      </c>
      <c r="F108">
        <v>175.41</v>
      </c>
      <c r="G108">
        <v>12</v>
      </c>
      <c r="H108">
        <v>21</v>
      </c>
      <c r="I108">
        <v>64.31</v>
      </c>
      <c r="J108">
        <v>35.74</v>
      </c>
      <c r="K108">
        <v>28.57</v>
      </c>
      <c r="L108">
        <v>111.1</v>
      </c>
      <c r="M108">
        <v>54.81</v>
      </c>
      <c r="N108">
        <v>58.29</v>
      </c>
      <c r="O108">
        <f t="shared" si="3"/>
        <v>90.550000000000011</v>
      </c>
      <c r="P108">
        <f t="shared" si="4"/>
        <v>86.86</v>
      </c>
      <c r="Q108" s="3">
        <f t="shared" si="5"/>
        <v>0.51039963925370613</v>
      </c>
      <c r="R108">
        <v>0</v>
      </c>
    </row>
    <row r="109" spans="1:18" x14ac:dyDescent="0.45">
      <c r="A109">
        <v>2022</v>
      </c>
      <c r="B109" t="s">
        <v>70</v>
      </c>
      <c r="C109">
        <v>20</v>
      </c>
      <c r="D109" t="s">
        <v>144</v>
      </c>
      <c r="E109" t="s">
        <v>44</v>
      </c>
      <c r="F109">
        <v>171.75</v>
      </c>
      <c r="G109">
        <v>21</v>
      </c>
      <c r="H109">
        <v>20</v>
      </c>
      <c r="I109">
        <v>59.55</v>
      </c>
      <c r="J109">
        <v>30.89</v>
      </c>
      <c r="K109">
        <v>29.66</v>
      </c>
      <c r="L109">
        <v>112.2</v>
      </c>
      <c r="M109">
        <v>54.27</v>
      </c>
      <c r="N109">
        <v>58.93</v>
      </c>
      <c r="O109">
        <f t="shared" si="3"/>
        <v>85.16</v>
      </c>
      <c r="P109">
        <f t="shared" si="4"/>
        <v>88.59</v>
      </c>
      <c r="Q109" s="3">
        <f t="shared" si="5"/>
        <v>0.49012949640287767</v>
      </c>
      <c r="R109">
        <v>0</v>
      </c>
    </row>
    <row r="110" spans="1:18" x14ac:dyDescent="0.45">
      <c r="A110">
        <v>2022</v>
      </c>
      <c r="B110" t="s">
        <v>70</v>
      </c>
      <c r="C110">
        <v>21</v>
      </c>
      <c r="D110" t="s">
        <v>145</v>
      </c>
      <c r="E110" t="s">
        <v>41</v>
      </c>
      <c r="F110">
        <v>168.91</v>
      </c>
      <c r="G110">
        <v>19</v>
      </c>
      <c r="H110">
        <v>22</v>
      </c>
      <c r="I110">
        <v>61.06</v>
      </c>
      <c r="J110">
        <v>32.03</v>
      </c>
      <c r="K110">
        <v>29.03</v>
      </c>
      <c r="L110">
        <v>107.85</v>
      </c>
      <c r="M110">
        <v>50.01</v>
      </c>
      <c r="N110">
        <v>57.84</v>
      </c>
      <c r="O110">
        <f t="shared" si="3"/>
        <v>82.039999999999992</v>
      </c>
      <c r="P110">
        <f t="shared" si="4"/>
        <v>86.87</v>
      </c>
      <c r="Q110" s="3">
        <f t="shared" si="5"/>
        <v>0.48570244508910065</v>
      </c>
      <c r="R110">
        <v>0</v>
      </c>
    </row>
    <row r="111" spans="1:18" x14ac:dyDescent="0.45">
      <c r="A111">
        <v>2022</v>
      </c>
      <c r="B111" t="s">
        <v>70</v>
      </c>
      <c r="C111">
        <v>22</v>
      </c>
      <c r="D111" t="s">
        <v>146</v>
      </c>
      <c r="E111" t="s">
        <v>21</v>
      </c>
      <c r="F111">
        <v>166.73</v>
      </c>
      <c r="G111">
        <v>15</v>
      </c>
      <c r="H111">
        <v>23</v>
      </c>
      <c r="I111">
        <v>62.69</v>
      </c>
      <c r="J111">
        <v>33.659999999999997</v>
      </c>
      <c r="K111">
        <v>30.03</v>
      </c>
      <c r="L111">
        <v>104.04</v>
      </c>
      <c r="M111">
        <v>47.87</v>
      </c>
      <c r="N111">
        <v>60.17</v>
      </c>
      <c r="O111">
        <f t="shared" si="3"/>
        <v>81.53</v>
      </c>
      <c r="P111">
        <f t="shared" si="4"/>
        <v>90.2</v>
      </c>
      <c r="Q111" s="3">
        <f t="shared" si="5"/>
        <v>0.4747568858091189</v>
      </c>
      <c r="R111">
        <v>0</v>
      </c>
    </row>
    <row r="112" spans="1:18" x14ac:dyDescent="0.45">
      <c r="A112">
        <v>2022</v>
      </c>
      <c r="B112" t="s">
        <v>70</v>
      </c>
      <c r="C112">
        <v>23</v>
      </c>
      <c r="D112" t="s">
        <v>104</v>
      </c>
      <c r="E112" t="s">
        <v>105</v>
      </c>
      <c r="F112">
        <v>159.31</v>
      </c>
      <c r="G112">
        <v>23</v>
      </c>
      <c r="H112">
        <v>24</v>
      </c>
      <c r="I112">
        <v>59.16</v>
      </c>
      <c r="J112">
        <v>32.36</v>
      </c>
      <c r="K112">
        <v>26.8</v>
      </c>
      <c r="L112">
        <v>100.15</v>
      </c>
      <c r="M112">
        <v>49.89</v>
      </c>
      <c r="N112">
        <v>51.26</v>
      </c>
      <c r="O112">
        <f t="shared" si="3"/>
        <v>82.25</v>
      </c>
      <c r="P112">
        <f t="shared" si="4"/>
        <v>78.06</v>
      </c>
      <c r="Q112" s="3">
        <f t="shared" si="5"/>
        <v>0.51306842991703572</v>
      </c>
      <c r="R112">
        <v>0</v>
      </c>
    </row>
    <row r="113" spans="1:18" x14ac:dyDescent="0.45">
      <c r="A113">
        <v>2022</v>
      </c>
      <c r="B113" t="s">
        <v>70</v>
      </c>
      <c r="C113">
        <v>24</v>
      </c>
      <c r="D113" t="s">
        <v>147</v>
      </c>
      <c r="E113" t="s">
        <v>88</v>
      </c>
      <c r="F113">
        <v>153.04</v>
      </c>
      <c r="G113">
        <v>25</v>
      </c>
      <c r="H113">
        <v>25</v>
      </c>
      <c r="I113">
        <v>56.97</v>
      </c>
      <c r="J113">
        <v>27.79</v>
      </c>
      <c r="K113">
        <v>29.18</v>
      </c>
      <c r="L113">
        <v>96.07</v>
      </c>
      <c r="M113">
        <v>45.96</v>
      </c>
      <c r="N113">
        <v>54.11</v>
      </c>
      <c r="O113">
        <f t="shared" si="3"/>
        <v>73.75</v>
      </c>
      <c r="P113">
        <f t="shared" si="4"/>
        <v>83.289999999999992</v>
      </c>
      <c r="Q113" s="3">
        <f t="shared" si="5"/>
        <v>0.46962557310239433</v>
      </c>
      <c r="R113">
        <v>0</v>
      </c>
    </row>
    <row r="114" spans="1:18" x14ac:dyDescent="0.45">
      <c r="A114">
        <v>2022</v>
      </c>
      <c r="B114" t="s">
        <v>70</v>
      </c>
      <c r="C114" t="s">
        <v>69</v>
      </c>
      <c r="D114" t="s">
        <v>148</v>
      </c>
      <c r="E114" t="s">
        <v>64</v>
      </c>
      <c r="F114">
        <v>54.51</v>
      </c>
      <c r="G114">
        <v>26</v>
      </c>
      <c r="H114">
        <v>0</v>
      </c>
      <c r="I114">
        <v>54.51</v>
      </c>
      <c r="J114">
        <v>26.11</v>
      </c>
      <c r="K114">
        <v>28.4</v>
      </c>
      <c r="L114">
        <v>0</v>
      </c>
      <c r="M114">
        <v>0</v>
      </c>
      <c r="N114">
        <v>0</v>
      </c>
      <c r="O114">
        <f t="shared" si="3"/>
        <v>26.11</v>
      </c>
      <c r="P114">
        <f t="shared" si="4"/>
        <v>28.4</v>
      </c>
      <c r="Q114" s="3">
        <f t="shared" si="5"/>
        <v>0.47899467987525224</v>
      </c>
      <c r="R114">
        <v>0</v>
      </c>
    </row>
    <row r="115" spans="1:18" x14ac:dyDescent="0.45">
      <c r="A115">
        <v>2022</v>
      </c>
      <c r="B115" t="s">
        <v>70</v>
      </c>
      <c r="C115" t="s">
        <v>69</v>
      </c>
      <c r="D115" t="s">
        <v>149</v>
      </c>
      <c r="E115" t="s">
        <v>46</v>
      </c>
      <c r="F115">
        <v>53.44</v>
      </c>
      <c r="G115">
        <v>27</v>
      </c>
      <c r="H115">
        <v>0</v>
      </c>
      <c r="I115">
        <v>53.44</v>
      </c>
      <c r="J115">
        <v>26.37</v>
      </c>
      <c r="K115">
        <v>27.07</v>
      </c>
      <c r="L115">
        <v>0</v>
      </c>
      <c r="M115">
        <v>0</v>
      </c>
      <c r="N115">
        <v>0</v>
      </c>
      <c r="O115">
        <f t="shared" si="3"/>
        <v>26.37</v>
      </c>
      <c r="P115">
        <f t="shared" si="4"/>
        <v>27.07</v>
      </c>
      <c r="Q115" s="3">
        <f t="shared" si="5"/>
        <v>0.49345059880239522</v>
      </c>
      <c r="R115">
        <v>0</v>
      </c>
    </row>
    <row r="116" spans="1:18" x14ac:dyDescent="0.45">
      <c r="A116">
        <v>2022</v>
      </c>
      <c r="B116" t="s">
        <v>70</v>
      </c>
      <c r="C116" t="s">
        <v>69</v>
      </c>
      <c r="D116" t="s">
        <v>150</v>
      </c>
      <c r="E116" t="s">
        <v>107</v>
      </c>
      <c r="F116">
        <v>52.54</v>
      </c>
      <c r="G116">
        <v>28</v>
      </c>
      <c r="H116">
        <v>0</v>
      </c>
      <c r="I116">
        <v>52.54</v>
      </c>
      <c r="J116">
        <v>26.2</v>
      </c>
      <c r="K116">
        <v>27.34</v>
      </c>
      <c r="L116">
        <v>0</v>
      </c>
      <c r="M116">
        <v>0</v>
      </c>
      <c r="N116">
        <v>0</v>
      </c>
      <c r="O116">
        <f t="shared" si="3"/>
        <v>26.2</v>
      </c>
      <c r="P116">
        <f t="shared" si="4"/>
        <v>27.34</v>
      </c>
      <c r="Q116" s="3">
        <f t="shared" si="5"/>
        <v>0.48935375420246546</v>
      </c>
      <c r="R116">
        <v>0</v>
      </c>
    </row>
    <row r="117" spans="1:18" x14ac:dyDescent="0.45">
      <c r="A117">
        <v>2022</v>
      </c>
      <c r="B117" t="s">
        <v>70</v>
      </c>
      <c r="C117" t="s">
        <v>69</v>
      </c>
      <c r="D117" t="s">
        <v>151</v>
      </c>
      <c r="E117" t="s">
        <v>118</v>
      </c>
      <c r="F117">
        <v>49.93</v>
      </c>
      <c r="G117">
        <v>29</v>
      </c>
      <c r="H117">
        <v>0</v>
      </c>
      <c r="I117">
        <v>49.93</v>
      </c>
      <c r="J117">
        <v>22.78</v>
      </c>
      <c r="K117">
        <v>27.15</v>
      </c>
      <c r="L117">
        <v>0</v>
      </c>
      <c r="M117">
        <v>0</v>
      </c>
      <c r="N117">
        <v>0</v>
      </c>
      <c r="O117">
        <f t="shared" si="3"/>
        <v>22.78</v>
      </c>
      <c r="P117">
        <f t="shared" si="4"/>
        <v>27.15</v>
      </c>
      <c r="Q117" s="3">
        <f t="shared" si="5"/>
        <v>0.45623873422791911</v>
      </c>
      <c r="R117">
        <v>0</v>
      </c>
    </row>
    <row r="118" spans="1:18" x14ac:dyDescent="0.45">
      <c r="A118">
        <v>2022</v>
      </c>
      <c r="B118" t="s">
        <v>70</v>
      </c>
      <c r="C118" t="s">
        <v>69</v>
      </c>
      <c r="D118" t="s">
        <v>152</v>
      </c>
      <c r="E118" t="s">
        <v>50</v>
      </c>
      <c r="F118">
        <v>48.68</v>
      </c>
      <c r="G118">
        <v>30</v>
      </c>
      <c r="H118">
        <v>0</v>
      </c>
      <c r="I118">
        <v>48.68</v>
      </c>
      <c r="J118">
        <v>24.04</v>
      </c>
      <c r="K118">
        <v>25.64</v>
      </c>
      <c r="L118">
        <v>0</v>
      </c>
      <c r="M118">
        <v>0</v>
      </c>
      <c r="N118">
        <v>0</v>
      </c>
      <c r="O118">
        <f t="shared" si="3"/>
        <v>24.04</v>
      </c>
      <c r="P118">
        <f t="shared" si="4"/>
        <v>25.64</v>
      </c>
      <c r="Q118" s="3">
        <f t="shared" si="5"/>
        <v>0.48389694041867953</v>
      </c>
      <c r="R118">
        <v>0</v>
      </c>
    </row>
    <row r="119" spans="1:18" x14ac:dyDescent="0.45">
      <c r="A119">
        <v>2022</v>
      </c>
      <c r="B119" t="s">
        <v>70</v>
      </c>
      <c r="C119" t="s">
        <v>153</v>
      </c>
      <c r="D119" t="s">
        <v>154</v>
      </c>
      <c r="E119" t="s">
        <v>113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f t="shared" si="3"/>
        <v>0</v>
      </c>
      <c r="P119">
        <f t="shared" si="4"/>
        <v>0</v>
      </c>
      <c r="Q119" s="3">
        <v>0</v>
      </c>
      <c r="R119">
        <v>0</v>
      </c>
    </row>
    <row r="120" spans="1:18" x14ac:dyDescent="0.45">
      <c r="A120">
        <v>2018</v>
      </c>
      <c r="B120" t="s">
        <v>17</v>
      </c>
      <c r="C120">
        <v>1</v>
      </c>
      <c r="D120" t="s">
        <v>110</v>
      </c>
      <c r="E120" t="s">
        <v>21</v>
      </c>
      <c r="F120">
        <v>317.85000000000002</v>
      </c>
      <c r="G120">
        <v>1</v>
      </c>
      <c r="H120">
        <v>2</v>
      </c>
      <c r="I120">
        <v>111.68</v>
      </c>
      <c r="J120">
        <v>63.18</v>
      </c>
      <c r="K120">
        <v>48.5</v>
      </c>
      <c r="L120">
        <v>206.17</v>
      </c>
      <c r="M120">
        <v>109.55</v>
      </c>
      <c r="N120">
        <v>96.62</v>
      </c>
      <c r="O120">
        <f t="shared" si="3"/>
        <v>172.73</v>
      </c>
      <c r="P120">
        <f t="shared" si="4"/>
        <v>145.12</v>
      </c>
      <c r="Q120" s="3">
        <f t="shared" si="5"/>
        <v>0.54343243668397034</v>
      </c>
      <c r="R120">
        <v>1</v>
      </c>
    </row>
    <row r="121" spans="1:18" x14ac:dyDescent="0.45">
      <c r="A121">
        <v>2018</v>
      </c>
      <c r="B121" t="s">
        <v>17</v>
      </c>
      <c r="C121">
        <v>2</v>
      </c>
      <c r="D121" t="s">
        <v>109</v>
      </c>
      <c r="E121" t="s">
        <v>21</v>
      </c>
      <c r="F121">
        <v>306.89999999999998</v>
      </c>
      <c r="G121">
        <v>3</v>
      </c>
      <c r="H121">
        <v>3</v>
      </c>
      <c r="I121">
        <v>104.17</v>
      </c>
      <c r="J121">
        <v>58.13</v>
      </c>
      <c r="K121">
        <v>46.04</v>
      </c>
      <c r="L121">
        <v>202.73</v>
      </c>
      <c r="M121">
        <v>111.01</v>
      </c>
      <c r="N121">
        <v>92.72</v>
      </c>
      <c r="O121">
        <f t="shared" si="3"/>
        <v>169.14000000000001</v>
      </c>
      <c r="P121">
        <f t="shared" si="4"/>
        <v>138.76</v>
      </c>
      <c r="Q121" s="3">
        <f t="shared" si="5"/>
        <v>0.54933419941539474</v>
      </c>
      <c r="R121">
        <v>2</v>
      </c>
    </row>
    <row r="122" spans="1:18" x14ac:dyDescent="0.45">
      <c r="A122">
        <v>2018</v>
      </c>
      <c r="B122" t="s">
        <v>17</v>
      </c>
      <c r="C122">
        <v>3</v>
      </c>
      <c r="D122" t="s">
        <v>155</v>
      </c>
      <c r="E122" t="s">
        <v>61</v>
      </c>
      <c r="F122">
        <v>305.24</v>
      </c>
      <c r="G122">
        <v>2</v>
      </c>
      <c r="H122">
        <v>4</v>
      </c>
      <c r="I122">
        <v>107.58</v>
      </c>
      <c r="J122">
        <v>59.79</v>
      </c>
      <c r="K122">
        <v>47.79</v>
      </c>
      <c r="L122">
        <v>197.66</v>
      </c>
      <c r="M122">
        <v>101.52</v>
      </c>
      <c r="N122">
        <v>96.14</v>
      </c>
      <c r="O122">
        <f t="shared" si="3"/>
        <v>161.31</v>
      </c>
      <c r="P122">
        <f t="shared" si="4"/>
        <v>143.93</v>
      </c>
      <c r="Q122" s="3">
        <f t="shared" si="5"/>
        <v>0.52846940112698204</v>
      </c>
      <c r="R122">
        <v>3</v>
      </c>
    </row>
    <row r="123" spans="1:18" x14ac:dyDescent="0.45">
      <c r="A123">
        <v>2018</v>
      </c>
      <c r="B123" t="s">
        <v>17</v>
      </c>
      <c r="C123">
        <v>4</v>
      </c>
      <c r="D123" t="s">
        <v>45</v>
      </c>
      <c r="E123" t="s">
        <v>46</v>
      </c>
      <c r="F123">
        <v>297.77</v>
      </c>
      <c r="G123">
        <v>4</v>
      </c>
      <c r="H123">
        <v>5</v>
      </c>
      <c r="I123">
        <v>103.32</v>
      </c>
      <c r="J123">
        <v>60.27</v>
      </c>
      <c r="K123">
        <v>43.05</v>
      </c>
      <c r="L123">
        <v>194.45</v>
      </c>
      <c r="M123">
        <v>109.69</v>
      </c>
      <c r="N123">
        <v>85.76</v>
      </c>
      <c r="O123">
        <f t="shared" si="3"/>
        <v>169.96</v>
      </c>
      <c r="P123">
        <f t="shared" si="4"/>
        <v>128.81</v>
      </c>
      <c r="Q123" s="3">
        <f t="shared" si="5"/>
        <v>0.56886568263212511</v>
      </c>
      <c r="R123">
        <v>0</v>
      </c>
    </row>
    <row r="124" spans="1:18" x14ac:dyDescent="0.45">
      <c r="A124">
        <v>2018</v>
      </c>
      <c r="B124" t="s">
        <v>17</v>
      </c>
      <c r="C124">
        <v>5</v>
      </c>
      <c r="D124" t="s">
        <v>108</v>
      </c>
      <c r="E124" t="s">
        <v>32</v>
      </c>
      <c r="F124">
        <v>297.35000000000002</v>
      </c>
      <c r="G124">
        <v>17</v>
      </c>
      <c r="H124">
        <v>1</v>
      </c>
      <c r="I124">
        <v>82.27</v>
      </c>
      <c r="J124">
        <v>41.39</v>
      </c>
      <c r="K124">
        <v>41.88</v>
      </c>
      <c r="L124">
        <v>215.08</v>
      </c>
      <c r="M124">
        <v>127.64</v>
      </c>
      <c r="N124">
        <v>87.44</v>
      </c>
      <c r="O124">
        <f t="shared" si="3"/>
        <v>169.03</v>
      </c>
      <c r="P124">
        <f t="shared" si="4"/>
        <v>129.32</v>
      </c>
      <c r="Q124" s="3">
        <f t="shared" si="5"/>
        <v>0.56654935478464885</v>
      </c>
      <c r="R124">
        <v>0</v>
      </c>
    </row>
    <row r="125" spans="1:18" x14ac:dyDescent="0.45">
      <c r="A125">
        <v>2018</v>
      </c>
      <c r="B125" t="s">
        <v>17</v>
      </c>
      <c r="C125">
        <v>6</v>
      </c>
      <c r="D125" t="s">
        <v>130</v>
      </c>
      <c r="E125" t="s">
        <v>32</v>
      </c>
      <c r="F125">
        <v>276.69</v>
      </c>
      <c r="G125">
        <v>12</v>
      </c>
      <c r="H125">
        <v>6</v>
      </c>
      <c r="I125">
        <v>84.53</v>
      </c>
      <c r="J125">
        <v>48.5</v>
      </c>
      <c r="K125">
        <v>36.03</v>
      </c>
      <c r="L125">
        <v>192.16</v>
      </c>
      <c r="M125">
        <v>112.24</v>
      </c>
      <c r="N125">
        <v>79.92</v>
      </c>
      <c r="O125">
        <f t="shared" si="3"/>
        <v>160.74</v>
      </c>
      <c r="P125">
        <f t="shared" si="4"/>
        <v>115.95</v>
      </c>
      <c r="Q125" s="3">
        <f t="shared" si="5"/>
        <v>0.58093895695543751</v>
      </c>
      <c r="R125">
        <v>0</v>
      </c>
    </row>
    <row r="126" spans="1:18" x14ac:dyDescent="0.45">
      <c r="A126">
        <v>2018</v>
      </c>
      <c r="B126" t="s">
        <v>17</v>
      </c>
      <c r="C126">
        <v>7</v>
      </c>
      <c r="D126" t="s">
        <v>156</v>
      </c>
      <c r="E126" t="s">
        <v>157</v>
      </c>
      <c r="F126">
        <v>267.51</v>
      </c>
      <c r="G126">
        <v>5</v>
      </c>
      <c r="H126">
        <v>13</v>
      </c>
      <c r="I126">
        <v>98.98</v>
      </c>
      <c r="J126">
        <v>56.98</v>
      </c>
      <c r="K126">
        <v>42</v>
      </c>
      <c r="L126">
        <v>168.53</v>
      </c>
      <c r="M126">
        <v>85.39</v>
      </c>
      <c r="N126">
        <v>85.14</v>
      </c>
      <c r="O126">
        <f t="shared" si="3"/>
        <v>142.37</v>
      </c>
      <c r="P126">
        <f t="shared" si="4"/>
        <v>127.14</v>
      </c>
      <c r="Q126" s="3">
        <f t="shared" si="5"/>
        <v>0.52825498126229087</v>
      </c>
      <c r="R126">
        <v>0</v>
      </c>
    </row>
    <row r="127" spans="1:18" x14ac:dyDescent="0.45">
      <c r="A127">
        <v>2018</v>
      </c>
      <c r="B127" t="s">
        <v>17</v>
      </c>
      <c r="C127">
        <v>8</v>
      </c>
      <c r="D127" t="s">
        <v>158</v>
      </c>
      <c r="E127" t="s">
        <v>157</v>
      </c>
      <c r="F127">
        <v>264.25</v>
      </c>
      <c r="G127">
        <v>8</v>
      </c>
      <c r="H127">
        <v>7</v>
      </c>
      <c r="I127">
        <v>86.69</v>
      </c>
      <c r="J127">
        <v>43.84</v>
      </c>
      <c r="K127">
        <v>43.85</v>
      </c>
      <c r="L127">
        <v>177.56</v>
      </c>
      <c r="M127">
        <v>91.62</v>
      </c>
      <c r="N127">
        <v>87.94</v>
      </c>
      <c r="O127">
        <f t="shared" si="3"/>
        <v>135.46</v>
      </c>
      <c r="P127">
        <f t="shared" si="4"/>
        <v>131.79</v>
      </c>
      <c r="Q127" s="3">
        <f t="shared" si="5"/>
        <v>0.50686623012160903</v>
      </c>
      <c r="R127">
        <v>0</v>
      </c>
    </row>
    <row r="128" spans="1:18" x14ac:dyDescent="0.45">
      <c r="A128">
        <v>2018</v>
      </c>
      <c r="B128" t="s">
        <v>17</v>
      </c>
      <c r="C128">
        <v>9</v>
      </c>
      <c r="D128" t="s">
        <v>159</v>
      </c>
      <c r="E128" t="s">
        <v>26</v>
      </c>
      <c r="F128">
        <v>263.43</v>
      </c>
      <c r="G128">
        <v>6</v>
      </c>
      <c r="H128">
        <v>8</v>
      </c>
      <c r="I128">
        <v>90.01</v>
      </c>
      <c r="J128">
        <v>45.08</v>
      </c>
      <c r="K128">
        <v>45.93</v>
      </c>
      <c r="L128">
        <v>173.42</v>
      </c>
      <c r="M128">
        <v>81.56</v>
      </c>
      <c r="N128">
        <v>91.86</v>
      </c>
      <c r="O128">
        <f t="shared" si="3"/>
        <v>126.64</v>
      </c>
      <c r="P128">
        <f t="shared" si="4"/>
        <v>137.79</v>
      </c>
      <c r="Q128" s="3">
        <f t="shared" si="5"/>
        <v>0.47891691562984534</v>
      </c>
      <c r="R128">
        <v>0</v>
      </c>
    </row>
    <row r="129" spans="1:18" x14ac:dyDescent="0.45">
      <c r="A129">
        <v>2018</v>
      </c>
      <c r="B129" t="s">
        <v>17</v>
      </c>
      <c r="C129">
        <v>10</v>
      </c>
      <c r="D129" t="s">
        <v>160</v>
      </c>
      <c r="E129" t="s">
        <v>32</v>
      </c>
      <c r="F129">
        <v>259.36</v>
      </c>
      <c r="G129">
        <v>7</v>
      </c>
      <c r="H129">
        <v>10</v>
      </c>
      <c r="I129">
        <v>87.95</v>
      </c>
      <c r="J129">
        <v>44.48</v>
      </c>
      <c r="K129">
        <v>43.47</v>
      </c>
      <c r="L129">
        <v>171.41</v>
      </c>
      <c r="M129">
        <v>84.47</v>
      </c>
      <c r="N129">
        <v>86.94</v>
      </c>
      <c r="O129">
        <f t="shared" si="3"/>
        <v>128.94999999999999</v>
      </c>
      <c r="P129">
        <f t="shared" si="4"/>
        <v>130.41</v>
      </c>
      <c r="Q129" s="3">
        <f t="shared" si="5"/>
        <v>0.49718537939543483</v>
      </c>
      <c r="R129">
        <v>0</v>
      </c>
    </row>
    <row r="130" spans="1:18" x14ac:dyDescent="0.45">
      <c r="A130">
        <v>2018</v>
      </c>
      <c r="B130" t="s">
        <v>17</v>
      </c>
      <c r="C130">
        <v>11</v>
      </c>
      <c r="D130" t="s">
        <v>126</v>
      </c>
      <c r="E130" t="s">
        <v>99</v>
      </c>
      <c r="F130">
        <v>257.01</v>
      </c>
      <c r="G130">
        <v>13</v>
      </c>
      <c r="H130">
        <v>9</v>
      </c>
      <c r="I130">
        <v>84.13</v>
      </c>
      <c r="J130">
        <v>43.63</v>
      </c>
      <c r="K130">
        <v>40.5</v>
      </c>
      <c r="L130">
        <v>172.88</v>
      </c>
      <c r="M130">
        <v>89.08</v>
      </c>
      <c r="N130">
        <v>83.8</v>
      </c>
      <c r="O130">
        <f t="shared" si="3"/>
        <v>132.71</v>
      </c>
      <c r="P130">
        <f t="shared" si="4"/>
        <v>124.3</v>
      </c>
      <c r="Q130" s="3">
        <f t="shared" si="5"/>
        <v>0.5163612310805028</v>
      </c>
      <c r="R130">
        <v>0</v>
      </c>
    </row>
    <row r="131" spans="1:18" x14ac:dyDescent="0.45">
      <c r="A131">
        <v>2018</v>
      </c>
      <c r="B131" t="s">
        <v>17</v>
      </c>
      <c r="C131">
        <v>12</v>
      </c>
      <c r="D131" t="s">
        <v>115</v>
      </c>
      <c r="E131" t="s">
        <v>26</v>
      </c>
      <c r="F131">
        <v>255.43</v>
      </c>
      <c r="G131">
        <v>10</v>
      </c>
      <c r="H131">
        <v>12</v>
      </c>
      <c r="I131">
        <v>85.11</v>
      </c>
      <c r="J131">
        <v>45.5</v>
      </c>
      <c r="K131">
        <v>40.61</v>
      </c>
      <c r="L131">
        <v>170.32</v>
      </c>
      <c r="M131">
        <v>84.88</v>
      </c>
      <c r="N131">
        <v>85.44</v>
      </c>
      <c r="O131">
        <f t="shared" ref="O131:O194" si="6">J131+M131</f>
        <v>130.38</v>
      </c>
      <c r="P131">
        <f t="shared" ref="P131:P194" si="7">K131+N131</f>
        <v>126.05</v>
      </c>
      <c r="Q131" s="3">
        <f t="shared" ref="Q131:Q194" si="8">IF(O131+P131=0,"",O131/(O131+P131))</f>
        <v>0.50844284990055766</v>
      </c>
      <c r="R131">
        <v>0</v>
      </c>
    </row>
    <row r="132" spans="1:18" x14ac:dyDescent="0.45">
      <c r="A132">
        <v>2018</v>
      </c>
      <c r="B132" t="s">
        <v>17</v>
      </c>
      <c r="C132">
        <v>13</v>
      </c>
      <c r="D132" t="s">
        <v>161</v>
      </c>
      <c r="E132" t="s">
        <v>99</v>
      </c>
      <c r="F132">
        <v>251.44</v>
      </c>
      <c r="G132">
        <v>18</v>
      </c>
      <c r="H132">
        <v>11</v>
      </c>
      <c r="I132">
        <v>80.69</v>
      </c>
      <c r="J132">
        <v>43.29</v>
      </c>
      <c r="K132">
        <v>38.4</v>
      </c>
      <c r="L132">
        <v>170.75</v>
      </c>
      <c r="M132">
        <v>89.03</v>
      </c>
      <c r="N132">
        <v>81.72</v>
      </c>
      <c r="O132">
        <f t="shared" si="6"/>
        <v>132.32</v>
      </c>
      <c r="P132">
        <f t="shared" si="7"/>
        <v>120.12</v>
      </c>
      <c r="Q132" s="3">
        <f t="shared" si="8"/>
        <v>0.52416415781967995</v>
      </c>
      <c r="R132">
        <v>0</v>
      </c>
    </row>
    <row r="133" spans="1:18" x14ac:dyDescent="0.45">
      <c r="A133">
        <v>2018</v>
      </c>
      <c r="B133" t="s">
        <v>17</v>
      </c>
      <c r="C133">
        <v>14</v>
      </c>
      <c r="D133" t="s">
        <v>162</v>
      </c>
      <c r="E133" t="s">
        <v>84</v>
      </c>
      <c r="F133">
        <v>248.95</v>
      </c>
      <c r="G133">
        <v>11</v>
      </c>
      <c r="H133">
        <v>16</v>
      </c>
      <c r="I133">
        <v>84.74</v>
      </c>
      <c r="J133">
        <v>44.17</v>
      </c>
      <c r="K133">
        <v>40.57</v>
      </c>
      <c r="L133">
        <v>164.21</v>
      </c>
      <c r="M133">
        <v>81.790000000000006</v>
      </c>
      <c r="N133">
        <v>82.42</v>
      </c>
      <c r="O133">
        <f t="shared" si="6"/>
        <v>125.96000000000001</v>
      </c>
      <c r="P133">
        <f t="shared" si="7"/>
        <v>122.99000000000001</v>
      </c>
      <c r="Q133" s="3">
        <f t="shared" si="8"/>
        <v>0.50596505322353891</v>
      </c>
      <c r="R133">
        <v>0</v>
      </c>
    </row>
    <row r="134" spans="1:18" x14ac:dyDescent="0.45">
      <c r="A134">
        <v>2018</v>
      </c>
      <c r="B134" t="s">
        <v>17</v>
      </c>
      <c r="C134">
        <v>15</v>
      </c>
      <c r="D134" t="s">
        <v>23</v>
      </c>
      <c r="E134" t="s">
        <v>24</v>
      </c>
      <c r="F134">
        <v>248.59</v>
      </c>
      <c r="G134">
        <v>15</v>
      </c>
      <c r="H134">
        <v>14</v>
      </c>
      <c r="I134">
        <v>83.43</v>
      </c>
      <c r="J134">
        <v>43.79</v>
      </c>
      <c r="K134">
        <v>39.64</v>
      </c>
      <c r="L134">
        <v>165.16</v>
      </c>
      <c r="M134">
        <v>84.94</v>
      </c>
      <c r="N134">
        <v>81.22</v>
      </c>
      <c r="O134">
        <f t="shared" si="6"/>
        <v>128.72999999999999</v>
      </c>
      <c r="P134">
        <f t="shared" si="7"/>
        <v>120.86</v>
      </c>
      <c r="Q134" s="3">
        <f t="shared" si="8"/>
        <v>0.51576585600384628</v>
      </c>
      <c r="R134">
        <v>0</v>
      </c>
    </row>
    <row r="135" spans="1:18" x14ac:dyDescent="0.45">
      <c r="A135">
        <v>2018</v>
      </c>
      <c r="B135" t="s">
        <v>17</v>
      </c>
      <c r="C135">
        <v>16</v>
      </c>
      <c r="D135" t="s">
        <v>124</v>
      </c>
      <c r="E135" t="s">
        <v>125</v>
      </c>
      <c r="F135">
        <v>246.07</v>
      </c>
      <c r="G135">
        <v>9</v>
      </c>
      <c r="H135">
        <v>18</v>
      </c>
      <c r="I135">
        <v>85.15</v>
      </c>
      <c r="J135">
        <v>44.34</v>
      </c>
      <c r="K135">
        <v>40.81</v>
      </c>
      <c r="L135">
        <v>160.91999999999999</v>
      </c>
      <c r="M135">
        <v>76.58</v>
      </c>
      <c r="N135">
        <v>84.34</v>
      </c>
      <c r="O135">
        <f t="shared" si="6"/>
        <v>120.92</v>
      </c>
      <c r="P135">
        <f t="shared" si="7"/>
        <v>125.15</v>
      </c>
      <c r="Q135" s="3">
        <f t="shared" si="8"/>
        <v>0.49140488478888122</v>
      </c>
      <c r="R135">
        <v>0</v>
      </c>
    </row>
    <row r="136" spans="1:18" x14ac:dyDescent="0.45">
      <c r="A136">
        <v>2018</v>
      </c>
      <c r="B136" t="s">
        <v>17</v>
      </c>
      <c r="C136">
        <v>17</v>
      </c>
      <c r="D136" t="s">
        <v>163</v>
      </c>
      <c r="E136" t="s">
        <v>164</v>
      </c>
      <c r="F136">
        <v>244.94</v>
      </c>
      <c r="G136">
        <v>14</v>
      </c>
      <c r="H136">
        <v>17</v>
      </c>
      <c r="I136">
        <v>83.9</v>
      </c>
      <c r="J136">
        <v>41.75</v>
      </c>
      <c r="K136">
        <v>42.15</v>
      </c>
      <c r="L136">
        <v>161.04</v>
      </c>
      <c r="M136">
        <v>74.959999999999994</v>
      </c>
      <c r="N136">
        <v>86.08</v>
      </c>
      <c r="O136">
        <f t="shared" si="6"/>
        <v>116.71</v>
      </c>
      <c r="P136">
        <f t="shared" si="7"/>
        <v>128.22999999999999</v>
      </c>
      <c r="Q136" s="3">
        <f t="shared" si="8"/>
        <v>0.47648403690699759</v>
      </c>
      <c r="R136">
        <v>0</v>
      </c>
    </row>
    <row r="137" spans="1:18" x14ac:dyDescent="0.45">
      <c r="A137">
        <v>2018</v>
      </c>
      <c r="B137" t="s">
        <v>17</v>
      </c>
      <c r="C137">
        <v>18</v>
      </c>
      <c r="D137" t="s">
        <v>165</v>
      </c>
      <c r="E137" t="s">
        <v>21</v>
      </c>
      <c r="F137">
        <v>244.83</v>
      </c>
      <c r="G137">
        <v>20</v>
      </c>
      <c r="H137">
        <v>15</v>
      </c>
      <c r="I137">
        <v>80.05</v>
      </c>
      <c r="J137">
        <v>40.299999999999997</v>
      </c>
      <c r="K137">
        <v>40.75</v>
      </c>
      <c r="L137">
        <v>164.78</v>
      </c>
      <c r="M137">
        <v>85.64</v>
      </c>
      <c r="N137">
        <v>81.14</v>
      </c>
      <c r="O137">
        <f t="shared" si="6"/>
        <v>125.94</v>
      </c>
      <c r="P137">
        <f t="shared" si="7"/>
        <v>121.89</v>
      </c>
      <c r="Q137" s="3">
        <f t="shared" si="8"/>
        <v>0.50817092361699556</v>
      </c>
      <c r="R137">
        <v>0</v>
      </c>
    </row>
    <row r="138" spans="1:18" x14ac:dyDescent="0.45">
      <c r="A138">
        <v>2018</v>
      </c>
      <c r="B138" t="s">
        <v>17</v>
      </c>
      <c r="C138">
        <v>19</v>
      </c>
      <c r="D138" t="s">
        <v>47</v>
      </c>
      <c r="E138" t="s">
        <v>48</v>
      </c>
      <c r="F138">
        <v>234.58</v>
      </c>
      <c r="G138">
        <v>21</v>
      </c>
      <c r="H138">
        <v>20</v>
      </c>
      <c r="I138">
        <v>79.52</v>
      </c>
      <c r="J138">
        <v>39.340000000000003</v>
      </c>
      <c r="K138">
        <v>41.18</v>
      </c>
      <c r="L138">
        <v>155.06</v>
      </c>
      <c r="M138">
        <v>76.42</v>
      </c>
      <c r="N138">
        <v>80.64</v>
      </c>
      <c r="O138">
        <f t="shared" si="6"/>
        <v>115.76</v>
      </c>
      <c r="P138">
        <f t="shared" si="7"/>
        <v>121.82</v>
      </c>
      <c r="Q138" s="3">
        <f t="shared" si="8"/>
        <v>0.48724640121222329</v>
      </c>
      <c r="R138">
        <v>0</v>
      </c>
    </row>
    <row r="139" spans="1:18" x14ac:dyDescent="0.45">
      <c r="A139">
        <v>2018</v>
      </c>
      <c r="B139" t="s">
        <v>17</v>
      </c>
      <c r="C139">
        <v>20</v>
      </c>
      <c r="D139" t="s">
        <v>117</v>
      </c>
      <c r="E139" t="s">
        <v>118</v>
      </c>
      <c r="F139">
        <v>233.81</v>
      </c>
      <c r="G139">
        <v>16</v>
      </c>
      <c r="H139">
        <v>21</v>
      </c>
      <c r="I139">
        <v>83.06</v>
      </c>
      <c r="J139">
        <v>45.49</v>
      </c>
      <c r="K139">
        <v>37.57</v>
      </c>
      <c r="L139">
        <v>150.75</v>
      </c>
      <c r="M139">
        <v>73.33</v>
      </c>
      <c r="N139">
        <v>77.42</v>
      </c>
      <c r="O139">
        <f t="shared" si="6"/>
        <v>118.82</v>
      </c>
      <c r="P139">
        <f t="shared" si="7"/>
        <v>114.99000000000001</v>
      </c>
      <c r="Q139" s="3">
        <f t="shared" si="8"/>
        <v>0.50819041101749285</v>
      </c>
      <c r="R139">
        <v>0</v>
      </c>
    </row>
    <row r="140" spans="1:18" x14ac:dyDescent="0.45">
      <c r="A140">
        <v>2018</v>
      </c>
      <c r="B140" t="s">
        <v>17</v>
      </c>
      <c r="C140">
        <v>21</v>
      </c>
      <c r="D140" t="s">
        <v>42</v>
      </c>
      <c r="E140" t="s">
        <v>34</v>
      </c>
      <c r="F140">
        <v>232.41</v>
      </c>
      <c r="G140">
        <v>23</v>
      </c>
      <c r="H140">
        <v>19</v>
      </c>
      <c r="I140">
        <v>75.63</v>
      </c>
      <c r="J140">
        <v>39.229999999999997</v>
      </c>
      <c r="K140">
        <v>36.4</v>
      </c>
      <c r="L140">
        <v>156.78</v>
      </c>
      <c r="M140">
        <v>80.86</v>
      </c>
      <c r="N140">
        <v>75.92</v>
      </c>
      <c r="O140">
        <f t="shared" si="6"/>
        <v>120.09</v>
      </c>
      <c r="P140">
        <f t="shared" si="7"/>
        <v>112.32</v>
      </c>
      <c r="Q140" s="3">
        <f t="shared" si="8"/>
        <v>0.51671614818639477</v>
      </c>
      <c r="R140">
        <v>0</v>
      </c>
    </row>
    <row r="141" spans="1:18" x14ac:dyDescent="0.45">
      <c r="A141">
        <v>2018</v>
      </c>
      <c r="B141" t="s">
        <v>17</v>
      </c>
      <c r="C141">
        <v>22</v>
      </c>
      <c r="D141" t="s">
        <v>166</v>
      </c>
      <c r="E141" t="s">
        <v>140</v>
      </c>
      <c r="F141">
        <v>214.55</v>
      </c>
      <c r="G141">
        <v>24</v>
      </c>
      <c r="H141">
        <v>22</v>
      </c>
      <c r="I141">
        <v>74.73</v>
      </c>
      <c r="J141">
        <v>37.71</v>
      </c>
      <c r="K141">
        <v>37.020000000000003</v>
      </c>
      <c r="L141">
        <v>139.82</v>
      </c>
      <c r="M141">
        <v>66.98</v>
      </c>
      <c r="N141">
        <v>72.84</v>
      </c>
      <c r="O141">
        <f t="shared" si="6"/>
        <v>104.69</v>
      </c>
      <c r="P141">
        <f t="shared" si="7"/>
        <v>109.86000000000001</v>
      </c>
      <c r="Q141" s="3">
        <f t="shared" si="8"/>
        <v>0.48795152645071077</v>
      </c>
      <c r="R141">
        <v>0</v>
      </c>
    </row>
    <row r="142" spans="1:18" x14ac:dyDescent="0.45">
      <c r="A142">
        <v>2018</v>
      </c>
      <c r="B142" t="s">
        <v>17</v>
      </c>
      <c r="C142">
        <v>23</v>
      </c>
      <c r="D142" t="s">
        <v>167</v>
      </c>
      <c r="E142" t="s">
        <v>46</v>
      </c>
      <c r="F142">
        <v>213.01</v>
      </c>
      <c r="G142">
        <v>19</v>
      </c>
      <c r="H142">
        <v>23</v>
      </c>
      <c r="I142">
        <v>80.63</v>
      </c>
      <c r="J142">
        <v>40.99</v>
      </c>
      <c r="K142">
        <v>40.64</v>
      </c>
      <c r="L142">
        <v>132.38</v>
      </c>
      <c r="M142">
        <v>53.8</v>
      </c>
      <c r="N142">
        <v>79.58</v>
      </c>
      <c r="O142">
        <f t="shared" si="6"/>
        <v>94.789999999999992</v>
      </c>
      <c r="P142">
        <f t="shared" si="7"/>
        <v>120.22</v>
      </c>
      <c r="Q142" s="3">
        <f t="shared" si="8"/>
        <v>0.44086321566438769</v>
      </c>
      <c r="R142">
        <v>0</v>
      </c>
    </row>
    <row r="143" spans="1:18" x14ac:dyDescent="0.45">
      <c r="A143">
        <v>2018</v>
      </c>
      <c r="B143" t="s">
        <v>17</v>
      </c>
      <c r="C143">
        <v>24</v>
      </c>
      <c r="D143" t="s">
        <v>114</v>
      </c>
      <c r="E143" t="s">
        <v>36</v>
      </c>
      <c r="F143">
        <v>204.57</v>
      </c>
      <c r="G143">
        <v>22</v>
      </c>
      <c r="H143">
        <v>24</v>
      </c>
      <c r="I143">
        <v>76.56</v>
      </c>
      <c r="J143">
        <v>40.880000000000003</v>
      </c>
      <c r="K143">
        <v>36.68</v>
      </c>
      <c r="L143">
        <v>128.01</v>
      </c>
      <c r="M143">
        <v>63.35</v>
      </c>
      <c r="N143">
        <v>70.66</v>
      </c>
      <c r="O143">
        <f t="shared" si="6"/>
        <v>104.23</v>
      </c>
      <c r="P143">
        <f t="shared" si="7"/>
        <v>107.34</v>
      </c>
      <c r="Q143" s="3">
        <f t="shared" si="8"/>
        <v>0.49265018669943755</v>
      </c>
      <c r="R143">
        <v>0</v>
      </c>
    </row>
    <row r="144" spans="1:18" x14ac:dyDescent="0.45">
      <c r="A144">
        <v>2018</v>
      </c>
      <c r="B144" t="s">
        <v>17</v>
      </c>
      <c r="C144" t="s">
        <v>69</v>
      </c>
      <c r="D144" t="s">
        <v>168</v>
      </c>
      <c r="E144" t="s">
        <v>169</v>
      </c>
      <c r="F144">
        <v>0</v>
      </c>
      <c r="G144">
        <v>25</v>
      </c>
      <c r="H144">
        <v>0</v>
      </c>
      <c r="I144">
        <v>73.58</v>
      </c>
      <c r="J144">
        <v>38.369999999999997</v>
      </c>
      <c r="K144">
        <v>35.21</v>
      </c>
      <c r="L144">
        <v>0</v>
      </c>
      <c r="M144">
        <v>0</v>
      </c>
      <c r="N144">
        <v>0</v>
      </c>
      <c r="O144">
        <f t="shared" si="6"/>
        <v>38.369999999999997</v>
      </c>
      <c r="P144">
        <f t="shared" si="7"/>
        <v>35.21</v>
      </c>
      <c r="Q144" s="3">
        <f t="shared" si="8"/>
        <v>0.52147322642022287</v>
      </c>
      <c r="R144">
        <v>0</v>
      </c>
    </row>
    <row r="145" spans="1:18" x14ac:dyDescent="0.45">
      <c r="A145">
        <v>2018</v>
      </c>
      <c r="B145" t="s">
        <v>17</v>
      </c>
      <c r="C145" t="s">
        <v>69</v>
      </c>
      <c r="D145" t="s">
        <v>170</v>
      </c>
      <c r="E145" t="s">
        <v>30</v>
      </c>
      <c r="F145">
        <v>0</v>
      </c>
      <c r="G145">
        <v>26</v>
      </c>
      <c r="H145">
        <v>0</v>
      </c>
      <c r="I145">
        <v>72.099999999999994</v>
      </c>
      <c r="J145">
        <v>38.409999999999997</v>
      </c>
      <c r="K145">
        <v>33.69</v>
      </c>
      <c r="L145">
        <v>0</v>
      </c>
      <c r="M145">
        <v>0</v>
      </c>
      <c r="N145">
        <v>0</v>
      </c>
      <c r="O145">
        <f t="shared" si="6"/>
        <v>38.409999999999997</v>
      </c>
      <c r="P145">
        <f t="shared" si="7"/>
        <v>33.69</v>
      </c>
      <c r="Q145" s="3">
        <f t="shared" si="8"/>
        <v>0.53273231622746187</v>
      </c>
      <c r="R145">
        <v>0</v>
      </c>
    </row>
    <row r="146" spans="1:18" x14ac:dyDescent="0.45">
      <c r="A146">
        <v>2018</v>
      </c>
      <c r="B146" t="s">
        <v>17</v>
      </c>
      <c r="C146" t="s">
        <v>69</v>
      </c>
      <c r="D146" t="s">
        <v>171</v>
      </c>
      <c r="E146" t="s">
        <v>19</v>
      </c>
      <c r="F146">
        <v>0</v>
      </c>
      <c r="G146">
        <v>27</v>
      </c>
      <c r="H146">
        <v>0</v>
      </c>
      <c r="I146">
        <v>70.12</v>
      </c>
      <c r="J146">
        <v>30.77</v>
      </c>
      <c r="K146">
        <v>39.35</v>
      </c>
      <c r="L146">
        <v>0</v>
      </c>
      <c r="M146">
        <v>0</v>
      </c>
      <c r="N146">
        <v>0</v>
      </c>
      <c r="O146">
        <f t="shared" si="6"/>
        <v>30.77</v>
      </c>
      <c r="P146">
        <f t="shared" si="7"/>
        <v>39.35</v>
      </c>
      <c r="Q146" s="3">
        <f t="shared" si="8"/>
        <v>0.43881916714204217</v>
      </c>
      <c r="R146">
        <v>0</v>
      </c>
    </row>
    <row r="147" spans="1:18" x14ac:dyDescent="0.45">
      <c r="A147">
        <v>2018</v>
      </c>
      <c r="B147" t="s">
        <v>17</v>
      </c>
      <c r="C147" t="s">
        <v>69</v>
      </c>
      <c r="D147" t="s">
        <v>172</v>
      </c>
      <c r="E147" t="s">
        <v>173</v>
      </c>
      <c r="F147">
        <v>0</v>
      </c>
      <c r="G147">
        <v>28</v>
      </c>
      <c r="H147">
        <v>0</v>
      </c>
      <c r="I147">
        <v>55.56</v>
      </c>
      <c r="J147">
        <v>26.04</v>
      </c>
      <c r="K147">
        <v>29.52</v>
      </c>
      <c r="L147">
        <v>0</v>
      </c>
      <c r="M147">
        <v>0</v>
      </c>
      <c r="N147">
        <v>0</v>
      </c>
      <c r="O147">
        <f t="shared" si="6"/>
        <v>26.04</v>
      </c>
      <c r="P147">
        <f t="shared" si="7"/>
        <v>29.52</v>
      </c>
      <c r="Q147" s="3">
        <f t="shared" si="8"/>
        <v>0.46868250539956802</v>
      </c>
      <c r="R147">
        <v>0</v>
      </c>
    </row>
    <row r="148" spans="1:18" x14ac:dyDescent="0.45">
      <c r="A148">
        <v>2018</v>
      </c>
      <c r="B148" t="s">
        <v>17</v>
      </c>
      <c r="C148" t="s">
        <v>69</v>
      </c>
      <c r="D148" t="s">
        <v>174</v>
      </c>
      <c r="E148" t="s">
        <v>61</v>
      </c>
      <c r="F148">
        <v>0</v>
      </c>
      <c r="G148">
        <v>29</v>
      </c>
      <c r="H148">
        <v>0</v>
      </c>
      <c r="I148">
        <v>52.41</v>
      </c>
      <c r="J148">
        <v>22.59</v>
      </c>
      <c r="K148">
        <v>30.82</v>
      </c>
      <c r="L148">
        <v>0</v>
      </c>
      <c r="M148">
        <v>0</v>
      </c>
      <c r="N148">
        <v>0</v>
      </c>
      <c r="O148">
        <f t="shared" si="6"/>
        <v>22.59</v>
      </c>
      <c r="P148">
        <f t="shared" si="7"/>
        <v>30.82</v>
      </c>
      <c r="Q148" s="3">
        <f t="shared" si="8"/>
        <v>0.42295450290207831</v>
      </c>
      <c r="R148">
        <v>0</v>
      </c>
    </row>
    <row r="149" spans="1:18" x14ac:dyDescent="0.45">
      <c r="A149">
        <v>2018</v>
      </c>
      <c r="B149" t="s">
        <v>17</v>
      </c>
      <c r="C149" t="s">
        <v>69</v>
      </c>
      <c r="D149" t="s">
        <v>175</v>
      </c>
      <c r="E149" t="s">
        <v>50</v>
      </c>
      <c r="F149">
        <v>0</v>
      </c>
      <c r="G149">
        <v>30</v>
      </c>
      <c r="H149">
        <v>0</v>
      </c>
      <c r="I149">
        <v>46.58</v>
      </c>
      <c r="J149">
        <v>18.68</v>
      </c>
      <c r="K149">
        <v>29.9</v>
      </c>
      <c r="L149">
        <v>0</v>
      </c>
      <c r="M149">
        <v>0</v>
      </c>
      <c r="N149">
        <v>0</v>
      </c>
      <c r="O149">
        <f t="shared" si="6"/>
        <v>18.68</v>
      </c>
      <c r="P149">
        <f t="shared" si="7"/>
        <v>29.9</v>
      </c>
      <c r="Q149" s="3">
        <f t="shared" si="8"/>
        <v>0.38452037875668998</v>
      </c>
      <c r="R149">
        <v>0</v>
      </c>
    </row>
    <row r="150" spans="1:18" x14ac:dyDescent="0.45">
      <c r="A150">
        <v>2018</v>
      </c>
      <c r="B150" t="s">
        <v>70</v>
      </c>
      <c r="C150">
        <v>1</v>
      </c>
      <c r="D150" t="s">
        <v>176</v>
      </c>
      <c r="E150" t="s">
        <v>157</v>
      </c>
      <c r="F150">
        <v>239.57</v>
      </c>
      <c r="G150">
        <v>1</v>
      </c>
      <c r="H150">
        <v>2</v>
      </c>
      <c r="I150">
        <v>82.92</v>
      </c>
      <c r="J150">
        <v>45.3</v>
      </c>
      <c r="K150">
        <v>37.619999999999997</v>
      </c>
      <c r="L150">
        <v>156.65</v>
      </c>
      <c r="M150">
        <v>81.62</v>
      </c>
      <c r="N150">
        <v>75.03</v>
      </c>
      <c r="O150">
        <f t="shared" si="6"/>
        <v>126.92</v>
      </c>
      <c r="P150">
        <f t="shared" si="7"/>
        <v>112.65</v>
      </c>
      <c r="Q150" s="3">
        <f t="shared" si="8"/>
        <v>0.5297825270275911</v>
      </c>
      <c r="R150">
        <v>1</v>
      </c>
    </row>
    <row r="151" spans="1:18" x14ac:dyDescent="0.45">
      <c r="A151">
        <v>2018</v>
      </c>
      <c r="B151" t="s">
        <v>70</v>
      </c>
      <c r="C151">
        <v>2</v>
      </c>
      <c r="D151" t="s">
        <v>177</v>
      </c>
      <c r="E151" t="s">
        <v>157</v>
      </c>
      <c r="F151">
        <v>238.26</v>
      </c>
      <c r="G151">
        <v>2</v>
      </c>
      <c r="H151">
        <v>1</v>
      </c>
      <c r="I151">
        <v>81.61</v>
      </c>
      <c r="J151">
        <v>43.19</v>
      </c>
      <c r="K151">
        <v>38.42</v>
      </c>
      <c r="L151">
        <v>156.65</v>
      </c>
      <c r="M151">
        <v>79.180000000000007</v>
      </c>
      <c r="N151">
        <v>77.47</v>
      </c>
      <c r="O151">
        <f t="shared" si="6"/>
        <v>122.37</v>
      </c>
      <c r="P151">
        <f t="shared" si="7"/>
        <v>115.89</v>
      </c>
      <c r="Q151" s="3">
        <f t="shared" si="8"/>
        <v>0.51359858977587514</v>
      </c>
      <c r="R151">
        <v>2</v>
      </c>
    </row>
    <row r="152" spans="1:18" x14ac:dyDescent="0.45">
      <c r="A152">
        <v>2018</v>
      </c>
      <c r="B152" t="s">
        <v>70</v>
      </c>
      <c r="C152">
        <v>3</v>
      </c>
      <c r="D152" t="s">
        <v>178</v>
      </c>
      <c r="E152" t="s">
        <v>26</v>
      </c>
      <c r="F152">
        <v>231.02</v>
      </c>
      <c r="G152">
        <v>3</v>
      </c>
      <c r="H152">
        <v>3</v>
      </c>
      <c r="I152">
        <v>78.87</v>
      </c>
      <c r="J152">
        <v>41.83</v>
      </c>
      <c r="K152">
        <v>37.04</v>
      </c>
      <c r="L152">
        <v>152.15</v>
      </c>
      <c r="M152">
        <v>76.5</v>
      </c>
      <c r="N152">
        <v>75.650000000000006</v>
      </c>
      <c r="O152">
        <f t="shared" si="6"/>
        <v>118.33</v>
      </c>
      <c r="P152">
        <f t="shared" si="7"/>
        <v>112.69</v>
      </c>
      <c r="Q152" s="3">
        <f t="shared" si="8"/>
        <v>0.51220673534758898</v>
      </c>
      <c r="R152">
        <v>3</v>
      </c>
    </row>
    <row r="153" spans="1:18" x14ac:dyDescent="0.45">
      <c r="A153">
        <v>2018</v>
      </c>
      <c r="B153" t="s">
        <v>70</v>
      </c>
      <c r="C153">
        <v>4</v>
      </c>
      <c r="D153" t="s">
        <v>179</v>
      </c>
      <c r="E153" t="s">
        <v>21</v>
      </c>
      <c r="F153">
        <v>222.38</v>
      </c>
      <c r="G153">
        <v>4</v>
      </c>
      <c r="H153">
        <v>4</v>
      </c>
      <c r="I153">
        <v>75.94</v>
      </c>
      <c r="J153">
        <v>40.25</v>
      </c>
      <c r="K153">
        <v>35.69</v>
      </c>
      <c r="L153">
        <v>146.44</v>
      </c>
      <c r="M153">
        <v>75.2</v>
      </c>
      <c r="N153">
        <v>71.239999999999995</v>
      </c>
      <c r="O153">
        <f t="shared" si="6"/>
        <v>115.45</v>
      </c>
      <c r="P153">
        <f t="shared" si="7"/>
        <v>106.92999999999999</v>
      </c>
      <c r="Q153" s="3">
        <f t="shared" si="8"/>
        <v>0.51915639895674071</v>
      </c>
      <c r="R153">
        <v>0</v>
      </c>
    </row>
    <row r="154" spans="1:18" x14ac:dyDescent="0.45">
      <c r="A154">
        <v>2018</v>
      </c>
      <c r="B154" t="s">
        <v>70</v>
      </c>
      <c r="C154">
        <v>5</v>
      </c>
      <c r="D154" t="s">
        <v>180</v>
      </c>
      <c r="E154" t="s">
        <v>34</v>
      </c>
      <c r="F154">
        <v>212.44</v>
      </c>
      <c r="G154">
        <v>6</v>
      </c>
      <c r="H154">
        <v>5</v>
      </c>
      <c r="I154">
        <v>73.150000000000006</v>
      </c>
      <c r="J154">
        <v>35.06</v>
      </c>
      <c r="K154">
        <v>38.090000000000003</v>
      </c>
      <c r="L154">
        <v>139.29</v>
      </c>
      <c r="M154">
        <v>63.64</v>
      </c>
      <c r="N154">
        <v>75.650000000000006</v>
      </c>
      <c r="O154">
        <f t="shared" si="6"/>
        <v>98.7</v>
      </c>
      <c r="P154">
        <f t="shared" si="7"/>
        <v>113.74000000000001</v>
      </c>
      <c r="Q154" s="3">
        <f t="shared" si="8"/>
        <v>0.46460176991150443</v>
      </c>
      <c r="R154">
        <v>0</v>
      </c>
    </row>
    <row r="155" spans="1:18" x14ac:dyDescent="0.45">
      <c r="A155">
        <v>2018</v>
      </c>
      <c r="B155" t="s">
        <v>70</v>
      </c>
      <c r="C155">
        <v>6</v>
      </c>
      <c r="D155" t="s">
        <v>72</v>
      </c>
      <c r="E155" t="s">
        <v>21</v>
      </c>
      <c r="F155">
        <v>209.71</v>
      </c>
      <c r="G155">
        <v>5</v>
      </c>
      <c r="H155">
        <v>6</v>
      </c>
      <c r="I155">
        <v>73.180000000000007</v>
      </c>
      <c r="J155">
        <v>40.36</v>
      </c>
      <c r="K155">
        <v>32.82</v>
      </c>
      <c r="L155">
        <v>136.53</v>
      </c>
      <c r="M155">
        <v>68.42</v>
      </c>
      <c r="N155">
        <v>68.11</v>
      </c>
      <c r="O155">
        <f t="shared" si="6"/>
        <v>108.78</v>
      </c>
      <c r="P155">
        <f t="shared" si="7"/>
        <v>100.93</v>
      </c>
      <c r="Q155" s="3">
        <f t="shared" si="8"/>
        <v>0.51871632254065136</v>
      </c>
      <c r="R155">
        <v>0</v>
      </c>
    </row>
    <row r="156" spans="1:18" x14ac:dyDescent="0.45">
      <c r="A156">
        <v>2018</v>
      </c>
      <c r="B156" t="s">
        <v>70</v>
      </c>
      <c r="C156">
        <v>7</v>
      </c>
      <c r="D156" t="s">
        <v>181</v>
      </c>
      <c r="E156" t="s">
        <v>24</v>
      </c>
      <c r="F156">
        <v>199.26</v>
      </c>
      <c r="G156">
        <v>8</v>
      </c>
      <c r="H156">
        <v>8</v>
      </c>
      <c r="I156">
        <v>67.77</v>
      </c>
      <c r="J156">
        <v>37.54</v>
      </c>
      <c r="K156">
        <v>30.23</v>
      </c>
      <c r="L156">
        <v>131.49</v>
      </c>
      <c r="M156">
        <v>68.739999999999995</v>
      </c>
      <c r="N156">
        <v>62.75</v>
      </c>
      <c r="O156">
        <f t="shared" si="6"/>
        <v>106.28</v>
      </c>
      <c r="P156">
        <f t="shared" si="7"/>
        <v>92.98</v>
      </c>
      <c r="Q156" s="3">
        <f t="shared" si="8"/>
        <v>0.53337348188296696</v>
      </c>
      <c r="R156">
        <v>0</v>
      </c>
    </row>
    <row r="157" spans="1:18" x14ac:dyDescent="0.45">
      <c r="A157">
        <v>2018</v>
      </c>
      <c r="B157" t="s">
        <v>70</v>
      </c>
      <c r="C157">
        <v>8</v>
      </c>
      <c r="D157" t="s">
        <v>182</v>
      </c>
      <c r="E157" t="s">
        <v>157</v>
      </c>
      <c r="F157">
        <v>198.1</v>
      </c>
      <c r="G157">
        <v>12</v>
      </c>
      <c r="H157">
        <v>7</v>
      </c>
      <c r="I157">
        <v>63.86</v>
      </c>
      <c r="J157">
        <v>31.47</v>
      </c>
      <c r="K157">
        <v>33.39</v>
      </c>
      <c r="L157">
        <v>134.24</v>
      </c>
      <c r="M157">
        <v>66.94</v>
      </c>
      <c r="N157">
        <v>67.3</v>
      </c>
      <c r="O157">
        <f t="shared" si="6"/>
        <v>98.41</v>
      </c>
      <c r="P157">
        <f t="shared" si="7"/>
        <v>100.69</v>
      </c>
      <c r="Q157" s="3">
        <f t="shared" si="8"/>
        <v>0.49427423405323956</v>
      </c>
      <c r="R157">
        <v>0</v>
      </c>
    </row>
    <row r="158" spans="1:18" x14ac:dyDescent="0.45">
      <c r="A158">
        <v>2018</v>
      </c>
      <c r="B158" t="s">
        <v>70</v>
      </c>
      <c r="C158">
        <v>9</v>
      </c>
      <c r="D158" t="s">
        <v>183</v>
      </c>
      <c r="E158" t="s">
        <v>32</v>
      </c>
      <c r="F158">
        <v>192.35</v>
      </c>
      <c r="G158">
        <v>11</v>
      </c>
      <c r="H158">
        <v>9</v>
      </c>
      <c r="I158">
        <v>64.010000000000005</v>
      </c>
      <c r="J158">
        <v>35.5</v>
      </c>
      <c r="K158">
        <v>29.51</v>
      </c>
      <c r="L158">
        <v>128.34</v>
      </c>
      <c r="M158">
        <v>65.41</v>
      </c>
      <c r="N158">
        <v>62.93</v>
      </c>
      <c r="O158">
        <f t="shared" si="6"/>
        <v>100.91</v>
      </c>
      <c r="P158">
        <f t="shared" si="7"/>
        <v>92.44</v>
      </c>
      <c r="Q158" s="3">
        <f t="shared" si="8"/>
        <v>0.52190328419963794</v>
      </c>
      <c r="R158">
        <v>0</v>
      </c>
    </row>
    <row r="159" spans="1:18" x14ac:dyDescent="0.45">
      <c r="A159">
        <v>2018</v>
      </c>
      <c r="B159" t="s">
        <v>70</v>
      </c>
      <c r="C159">
        <v>10</v>
      </c>
      <c r="D159" t="s">
        <v>184</v>
      </c>
      <c r="E159" t="s">
        <v>32</v>
      </c>
      <c r="F159">
        <v>186.54</v>
      </c>
      <c r="G159">
        <v>9</v>
      </c>
      <c r="H159">
        <v>12</v>
      </c>
      <c r="I159">
        <v>66.930000000000007</v>
      </c>
      <c r="J159">
        <v>37.24</v>
      </c>
      <c r="K159">
        <v>30.69</v>
      </c>
      <c r="L159">
        <v>119.61</v>
      </c>
      <c r="M159">
        <v>57.56</v>
      </c>
      <c r="N159">
        <v>62.05</v>
      </c>
      <c r="O159">
        <f t="shared" si="6"/>
        <v>94.800000000000011</v>
      </c>
      <c r="P159">
        <f t="shared" si="7"/>
        <v>92.74</v>
      </c>
      <c r="Q159" s="3">
        <f t="shared" si="8"/>
        <v>0.50549216167217659</v>
      </c>
      <c r="R159">
        <v>0</v>
      </c>
    </row>
    <row r="160" spans="1:18" x14ac:dyDescent="0.45">
      <c r="A160">
        <v>2018</v>
      </c>
      <c r="B160" t="s">
        <v>70</v>
      </c>
      <c r="C160">
        <v>11</v>
      </c>
      <c r="D160" t="s">
        <v>138</v>
      </c>
      <c r="E160" t="s">
        <v>32</v>
      </c>
      <c r="F160">
        <v>185.65</v>
      </c>
      <c r="G160">
        <v>10</v>
      </c>
      <c r="H160">
        <v>11</v>
      </c>
      <c r="I160">
        <v>65.900000000000006</v>
      </c>
      <c r="J160">
        <v>33.53</v>
      </c>
      <c r="K160">
        <v>32.369999999999997</v>
      </c>
      <c r="L160">
        <v>119.75</v>
      </c>
      <c r="M160">
        <v>56.65</v>
      </c>
      <c r="N160">
        <v>64.099999999999994</v>
      </c>
      <c r="O160">
        <f t="shared" si="6"/>
        <v>90.18</v>
      </c>
      <c r="P160">
        <f t="shared" si="7"/>
        <v>96.47</v>
      </c>
      <c r="Q160" s="3">
        <f t="shared" si="8"/>
        <v>0.48315028127511389</v>
      </c>
      <c r="R160">
        <v>0</v>
      </c>
    </row>
    <row r="161" spans="1:18" x14ac:dyDescent="0.45">
      <c r="A161">
        <v>2018</v>
      </c>
      <c r="B161" t="s">
        <v>70</v>
      </c>
      <c r="C161">
        <v>12</v>
      </c>
      <c r="D161" t="s">
        <v>185</v>
      </c>
      <c r="E161" t="s">
        <v>19</v>
      </c>
      <c r="F161">
        <v>177.12</v>
      </c>
      <c r="G161">
        <v>15</v>
      </c>
      <c r="H161">
        <v>13</v>
      </c>
      <c r="I161">
        <v>58.82</v>
      </c>
      <c r="J161">
        <v>29.14</v>
      </c>
      <c r="K161">
        <v>29.68</v>
      </c>
      <c r="L161">
        <v>118.3</v>
      </c>
      <c r="M161">
        <v>60.5</v>
      </c>
      <c r="N161">
        <v>58.8</v>
      </c>
      <c r="O161">
        <f t="shared" si="6"/>
        <v>89.64</v>
      </c>
      <c r="P161">
        <f t="shared" si="7"/>
        <v>88.47999999999999</v>
      </c>
      <c r="Q161" s="3">
        <f t="shared" si="8"/>
        <v>0.5032562317538738</v>
      </c>
      <c r="R161">
        <v>0</v>
      </c>
    </row>
    <row r="162" spans="1:18" x14ac:dyDescent="0.45">
      <c r="A162">
        <v>2018</v>
      </c>
      <c r="B162" t="s">
        <v>70</v>
      </c>
      <c r="C162">
        <v>13</v>
      </c>
      <c r="D162" t="s">
        <v>186</v>
      </c>
      <c r="E162" t="s">
        <v>24</v>
      </c>
      <c r="F162">
        <v>175.71</v>
      </c>
      <c r="G162">
        <v>21</v>
      </c>
      <c r="H162">
        <v>10</v>
      </c>
      <c r="I162">
        <v>54.33</v>
      </c>
      <c r="J162">
        <v>29.41</v>
      </c>
      <c r="K162">
        <v>24.92</v>
      </c>
      <c r="L162">
        <v>121.38</v>
      </c>
      <c r="M162">
        <v>67.03</v>
      </c>
      <c r="N162">
        <v>54.35</v>
      </c>
      <c r="O162">
        <f t="shared" si="6"/>
        <v>96.44</v>
      </c>
      <c r="P162">
        <f t="shared" si="7"/>
        <v>79.27000000000001</v>
      </c>
      <c r="Q162" s="3">
        <f t="shared" si="8"/>
        <v>0.54885891525809571</v>
      </c>
      <c r="R162">
        <v>0</v>
      </c>
    </row>
    <row r="163" spans="1:18" x14ac:dyDescent="0.45">
      <c r="A163">
        <v>2018</v>
      </c>
      <c r="B163" t="s">
        <v>70</v>
      </c>
      <c r="C163">
        <v>14</v>
      </c>
      <c r="D163" t="s">
        <v>187</v>
      </c>
      <c r="E163" t="s">
        <v>59</v>
      </c>
      <c r="F163">
        <v>175.19</v>
      </c>
      <c r="G163">
        <v>13</v>
      </c>
      <c r="H163">
        <v>15</v>
      </c>
      <c r="I163">
        <v>60.59</v>
      </c>
      <c r="J163">
        <v>32.36</v>
      </c>
      <c r="K163">
        <v>28.23</v>
      </c>
      <c r="L163">
        <v>114.6</v>
      </c>
      <c r="M163">
        <v>57.8</v>
      </c>
      <c r="N163">
        <v>56.8</v>
      </c>
      <c r="O163">
        <f t="shared" si="6"/>
        <v>90.16</v>
      </c>
      <c r="P163">
        <f t="shared" si="7"/>
        <v>85.03</v>
      </c>
      <c r="Q163" s="3">
        <f t="shared" si="8"/>
        <v>0.51464124664649813</v>
      </c>
      <c r="R163">
        <v>0</v>
      </c>
    </row>
    <row r="164" spans="1:18" x14ac:dyDescent="0.45">
      <c r="A164">
        <v>2018</v>
      </c>
      <c r="B164" t="s">
        <v>70</v>
      </c>
      <c r="C164">
        <v>15</v>
      </c>
      <c r="D164" t="s">
        <v>188</v>
      </c>
      <c r="E164" t="s">
        <v>26</v>
      </c>
      <c r="F164">
        <v>172.46</v>
      </c>
      <c r="G164">
        <v>7</v>
      </c>
      <c r="H164">
        <v>19</v>
      </c>
      <c r="I164">
        <v>68.900000000000006</v>
      </c>
      <c r="J164">
        <v>35.9</v>
      </c>
      <c r="K164">
        <v>33</v>
      </c>
      <c r="L164">
        <v>103.56</v>
      </c>
      <c r="M164">
        <v>45.81</v>
      </c>
      <c r="N164">
        <v>61.75</v>
      </c>
      <c r="O164">
        <f t="shared" si="6"/>
        <v>81.710000000000008</v>
      </c>
      <c r="P164">
        <f t="shared" si="7"/>
        <v>94.75</v>
      </c>
      <c r="Q164" s="3">
        <f t="shared" si="8"/>
        <v>0.46305111640031738</v>
      </c>
      <c r="R164">
        <v>0</v>
      </c>
    </row>
    <row r="165" spans="1:18" x14ac:dyDescent="0.45">
      <c r="A165">
        <v>2018</v>
      </c>
      <c r="B165" t="s">
        <v>70</v>
      </c>
      <c r="C165">
        <v>16</v>
      </c>
      <c r="D165" t="s">
        <v>85</v>
      </c>
      <c r="E165" t="s">
        <v>84</v>
      </c>
      <c r="F165">
        <v>171.88</v>
      </c>
      <c r="G165">
        <v>20</v>
      </c>
      <c r="H165">
        <v>14</v>
      </c>
      <c r="I165">
        <v>55.16</v>
      </c>
      <c r="J165">
        <v>27.79</v>
      </c>
      <c r="K165">
        <v>27.37</v>
      </c>
      <c r="L165">
        <v>116.72</v>
      </c>
      <c r="M165">
        <v>60.73</v>
      </c>
      <c r="N165">
        <v>55.99</v>
      </c>
      <c r="O165">
        <f t="shared" si="6"/>
        <v>88.52</v>
      </c>
      <c r="P165">
        <f t="shared" si="7"/>
        <v>83.36</v>
      </c>
      <c r="Q165" s="3">
        <f t="shared" si="8"/>
        <v>0.51501047242262044</v>
      </c>
      <c r="R165">
        <v>0</v>
      </c>
    </row>
    <row r="166" spans="1:18" x14ac:dyDescent="0.45">
      <c r="A166">
        <v>2018</v>
      </c>
      <c r="B166" t="s">
        <v>70</v>
      </c>
      <c r="C166">
        <v>17</v>
      </c>
      <c r="D166" t="s">
        <v>151</v>
      </c>
      <c r="E166" t="s">
        <v>118</v>
      </c>
      <c r="F166">
        <v>168.61</v>
      </c>
      <c r="G166">
        <v>16</v>
      </c>
      <c r="H166">
        <v>16</v>
      </c>
      <c r="I166">
        <v>56.77</v>
      </c>
      <c r="J166">
        <v>30.36</v>
      </c>
      <c r="K166">
        <v>26.41</v>
      </c>
      <c r="L166">
        <v>111.84</v>
      </c>
      <c r="M166">
        <v>57.89</v>
      </c>
      <c r="N166">
        <v>53.95</v>
      </c>
      <c r="O166">
        <f t="shared" si="6"/>
        <v>88.25</v>
      </c>
      <c r="P166">
        <f t="shared" si="7"/>
        <v>80.36</v>
      </c>
      <c r="Q166" s="3">
        <f t="shared" si="8"/>
        <v>0.52339718877883867</v>
      </c>
      <c r="R166">
        <v>0</v>
      </c>
    </row>
    <row r="167" spans="1:18" x14ac:dyDescent="0.45">
      <c r="A167">
        <v>2018</v>
      </c>
      <c r="B167" t="s">
        <v>70</v>
      </c>
      <c r="C167">
        <v>18</v>
      </c>
      <c r="D167" t="s">
        <v>139</v>
      </c>
      <c r="E167" t="s">
        <v>140</v>
      </c>
      <c r="F167">
        <v>168.46</v>
      </c>
      <c r="G167">
        <v>14</v>
      </c>
      <c r="H167">
        <v>17</v>
      </c>
      <c r="I167">
        <v>59.2</v>
      </c>
      <c r="J167">
        <v>31.62</v>
      </c>
      <c r="K167">
        <v>27.58</v>
      </c>
      <c r="L167">
        <v>114.6</v>
      </c>
      <c r="M167">
        <v>57.8</v>
      </c>
      <c r="N167">
        <v>56.8</v>
      </c>
      <c r="O167">
        <f t="shared" si="6"/>
        <v>89.42</v>
      </c>
      <c r="P167">
        <f t="shared" si="7"/>
        <v>84.38</v>
      </c>
      <c r="Q167" s="3">
        <f t="shared" si="8"/>
        <v>0.51449942462600684</v>
      </c>
      <c r="R167">
        <v>0</v>
      </c>
    </row>
    <row r="168" spans="1:18" x14ac:dyDescent="0.45">
      <c r="A168">
        <v>2018</v>
      </c>
      <c r="B168" t="s">
        <v>70</v>
      </c>
      <c r="C168">
        <v>19</v>
      </c>
      <c r="D168" t="s">
        <v>189</v>
      </c>
      <c r="E168" t="s">
        <v>30</v>
      </c>
      <c r="F168">
        <v>159.91999999999999</v>
      </c>
      <c r="G168">
        <v>22</v>
      </c>
      <c r="H168">
        <v>18</v>
      </c>
      <c r="I168">
        <v>53.67</v>
      </c>
      <c r="J168">
        <v>28.24</v>
      </c>
      <c r="K168">
        <v>25.43</v>
      </c>
      <c r="L168">
        <v>106.25</v>
      </c>
      <c r="M168">
        <v>55.13</v>
      </c>
      <c r="N168">
        <v>52.12</v>
      </c>
      <c r="O168">
        <f t="shared" si="6"/>
        <v>83.37</v>
      </c>
      <c r="P168">
        <f t="shared" si="7"/>
        <v>77.55</v>
      </c>
      <c r="Q168" s="3">
        <f t="shared" si="8"/>
        <v>0.51808351976137212</v>
      </c>
      <c r="R168">
        <v>0</v>
      </c>
    </row>
    <row r="169" spans="1:18" x14ac:dyDescent="0.45">
      <c r="A169">
        <v>2018</v>
      </c>
      <c r="B169" t="s">
        <v>70</v>
      </c>
      <c r="C169">
        <v>20</v>
      </c>
      <c r="D169" t="s">
        <v>190</v>
      </c>
      <c r="E169" t="s">
        <v>88</v>
      </c>
      <c r="F169">
        <v>157.13999999999999</v>
      </c>
      <c r="G169">
        <v>18</v>
      </c>
      <c r="H169">
        <v>21</v>
      </c>
      <c r="I169">
        <v>55.28</v>
      </c>
      <c r="J169">
        <v>28.48</v>
      </c>
      <c r="K169">
        <v>27.8</v>
      </c>
      <c r="L169">
        <v>101.86</v>
      </c>
      <c r="M169">
        <v>46.41</v>
      </c>
      <c r="N169">
        <v>56.45</v>
      </c>
      <c r="O169">
        <f t="shared" si="6"/>
        <v>74.89</v>
      </c>
      <c r="P169">
        <f t="shared" si="7"/>
        <v>84.25</v>
      </c>
      <c r="Q169" s="3">
        <f t="shared" si="8"/>
        <v>0.47059193163252488</v>
      </c>
      <c r="R169">
        <v>0</v>
      </c>
    </row>
    <row r="170" spans="1:18" x14ac:dyDescent="0.45">
      <c r="A170">
        <v>2018</v>
      </c>
      <c r="B170" t="s">
        <v>70</v>
      </c>
      <c r="C170">
        <v>21</v>
      </c>
      <c r="D170" t="s">
        <v>145</v>
      </c>
      <c r="E170" t="s">
        <v>41</v>
      </c>
      <c r="F170">
        <v>156.26</v>
      </c>
      <c r="G170">
        <v>19</v>
      </c>
      <c r="H170">
        <v>22</v>
      </c>
      <c r="I170">
        <v>55.26</v>
      </c>
      <c r="J170">
        <v>29.99</v>
      </c>
      <c r="K170">
        <v>25.27</v>
      </c>
      <c r="L170">
        <v>101</v>
      </c>
      <c r="M170">
        <v>50.94</v>
      </c>
      <c r="N170">
        <v>50.06</v>
      </c>
      <c r="O170">
        <f t="shared" si="6"/>
        <v>80.929999999999993</v>
      </c>
      <c r="P170">
        <f t="shared" si="7"/>
        <v>75.33</v>
      </c>
      <c r="Q170" s="3">
        <f t="shared" si="8"/>
        <v>0.51791885319339559</v>
      </c>
      <c r="R170">
        <v>0</v>
      </c>
    </row>
    <row r="171" spans="1:18" x14ac:dyDescent="0.45">
      <c r="A171">
        <v>2018</v>
      </c>
      <c r="B171" t="s">
        <v>70</v>
      </c>
      <c r="C171">
        <v>22</v>
      </c>
      <c r="D171" t="s">
        <v>191</v>
      </c>
      <c r="E171" t="s">
        <v>46</v>
      </c>
      <c r="F171">
        <v>154.43</v>
      </c>
      <c r="G171">
        <v>24</v>
      </c>
      <c r="H171">
        <v>20</v>
      </c>
      <c r="I171">
        <v>52.46</v>
      </c>
      <c r="J171">
        <v>27.27</v>
      </c>
      <c r="K171">
        <v>26.19</v>
      </c>
      <c r="L171">
        <v>101.97</v>
      </c>
      <c r="M171">
        <v>50.56</v>
      </c>
      <c r="N171">
        <v>51.41</v>
      </c>
      <c r="O171">
        <f t="shared" si="6"/>
        <v>77.83</v>
      </c>
      <c r="P171">
        <f t="shared" si="7"/>
        <v>77.599999999999994</v>
      </c>
      <c r="Q171" s="3">
        <f t="shared" si="8"/>
        <v>0.50073988290548799</v>
      </c>
      <c r="R171">
        <v>0</v>
      </c>
    </row>
    <row r="172" spans="1:18" x14ac:dyDescent="0.45">
      <c r="A172">
        <v>2018</v>
      </c>
      <c r="B172" t="s">
        <v>70</v>
      </c>
      <c r="C172">
        <v>23</v>
      </c>
      <c r="D172" t="s">
        <v>192</v>
      </c>
      <c r="E172" t="s">
        <v>193</v>
      </c>
      <c r="F172">
        <v>150.43</v>
      </c>
      <c r="G172">
        <v>23</v>
      </c>
      <c r="H172">
        <v>23</v>
      </c>
      <c r="I172">
        <v>53.22</v>
      </c>
      <c r="J172">
        <v>27.6</v>
      </c>
      <c r="K172">
        <v>25.62</v>
      </c>
      <c r="L172">
        <v>97.21</v>
      </c>
      <c r="M172">
        <v>49.82</v>
      </c>
      <c r="N172">
        <v>50.39</v>
      </c>
      <c r="O172">
        <f t="shared" si="6"/>
        <v>77.42</v>
      </c>
      <c r="P172">
        <f t="shared" si="7"/>
        <v>76.010000000000005</v>
      </c>
      <c r="Q172" s="3">
        <f t="shared" si="8"/>
        <v>0.50459492928371241</v>
      </c>
      <c r="R172">
        <v>0</v>
      </c>
    </row>
    <row r="173" spans="1:18" x14ac:dyDescent="0.45">
      <c r="A173">
        <v>2018</v>
      </c>
      <c r="B173" t="s">
        <v>70</v>
      </c>
      <c r="C173">
        <v>24</v>
      </c>
      <c r="D173" t="s">
        <v>194</v>
      </c>
      <c r="E173" t="s">
        <v>195</v>
      </c>
      <c r="F173">
        <v>144.18</v>
      </c>
      <c r="G173">
        <v>17</v>
      </c>
      <c r="H173">
        <v>24</v>
      </c>
      <c r="I173">
        <v>55.74</v>
      </c>
      <c r="J173">
        <v>29.83</v>
      </c>
      <c r="K173">
        <v>25.91</v>
      </c>
      <c r="L173">
        <v>88.44</v>
      </c>
      <c r="M173">
        <v>38.39</v>
      </c>
      <c r="N173">
        <v>51.05</v>
      </c>
      <c r="O173">
        <f t="shared" si="6"/>
        <v>68.22</v>
      </c>
      <c r="P173">
        <f t="shared" si="7"/>
        <v>76.959999999999994</v>
      </c>
      <c r="Q173" s="3">
        <f t="shared" si="8"/>
        <v>0.46989943518390959</v>
      </c>
      <c r="R173">
        <v>0</v>
      </c>
    </row>
    <row r="174" spans="1:18" x14ac:dyDescent="0.45">
      <c r="A174">
        <v>2018</v>
      </c>
      <c r="B174" t="s">
        <v>70</v>
      </c>
      <c r="C174" t="s">
        <v>69</v>
      </c>
      <c r="D174" t="s">
        <v>196</v>
      </c>
      <c r="E174" t="s">
        <v>26</v>
      </c>
      <c r="F174">
        <v>0</v>
      </c>
      <c r="G174">
        <v>25</v>
      </c>
      <c r="I174">
        <v>51.42</v>
      </c>
      <c r="J174">
        <v>25.93</v>
      </c>
      <c r="K174">
        <v>26.49</v>
      </c>
      <c r="L174">
        <v>0</v>
      </c>
      <c r="M174">
        <v>0</v>
      </c>
      <c r="N174">
        <v>0</v>
      </c>
      <c r="O174">
        <f t="shared" si="6"/>
        <v>25.93</v>
      </c>
      <c r="P174">
        <f t="shared" si="7"/>
        <v>26.49</v>
      </c>
      <c r="Q174" s="3">
        <f t="shared" si="8"/>
        <v>0.49465852727966425</v>
      </c>
      <c r="R174">
        <v>0</v>
      </c>
    </row>
    <row r="175" spans="1:18" x14ac:dyDescent="0.45">
      <c r="A175">
        <v>2018</v>
      </c>
      <c r="B175" t="s">
        <v>70</v>
      </c>
      <c r="C175" t="s">
        <v>69</v>
      </c>
      <c r="D175" t="s">
        <v>197</v>
      </c>
      <c r="E175" t="s">
        <v>48</v>
      </c>
      <c r="F175">
        <v>0</v>
      </c>
      <c r="G175">
        <v>26</v>
      </c>
      <c r="I175">
        <v>51.12</v>
      </c>
      <c r="J175">
        <v>26.35</v>
      </c>
      <c r="K175">
        <v>24.77</v>
      </c>
      <c r="L175">
        <v>0</v>
      </c>
      <c r="M175">
        <v>0</v>
      </c>
      <c r="N175">
        <v>0</v>
      </c>
      <c r="O175">
        <f t="shared" si="6"/>
        <v>26.35</v>
      </c>
      <c r="P175">
        <f t="shared" si="7"/>
        <v>24.77</v>
      </c>
      <c r="Q175" s="3">
        <f t="shared" si="8"/>
        <v>0.51545383411580592</v>
      </c>
      <c r="R175">
        <v>0</v>
      </c>
    </row>
    <row r="176" spans="1:18" x14ac:dyDescent="0.45">
      <c r="A176">
        <v>2018</v>
      </c>
      <c r="B176" t="s">
        <v>70</v>
      </c>
      <c r="C176" t="s">
        <v>69</v>
      </c>
      <c r="D176" t="s">
        <v>198</v>
      </c>
      <c r="E176" t="s">
        <v>34</v>
      </c>
      <c r="F176">
        <v>0</v>
      </c>
      <c r="G176">
        <v>27</v>
      </c>
      <c r="I176">
        <v>50.88</v>
      </c>
      <c r="J176">
        <v>25.9</v>
      </c>
      <c r="K176">
        <v>25.98</v>
      </c>
      <c r="L176">
        <v>0</v>
      </c>
      <c r="M176">
        <v>0</v>
      </c>
      <c r="N176">
        <v>0</v>
      </c>
      <c r="O176">
        <f t="shared" si="6"/>
        <v>25.9</v>
      </c>
      <c r="P176">
        <f t="shared" si="7"/>
        <v>25.98</v>
      </c>
      <c r="Q176" s="3">
        <f t="shared" si="8"/>
        <v>0.49922898997686971</v>
      </c>
      <c r="R176">
        <v>0</v>
      </c>
    </row>
    <row r="177" spans="1:18" x14ac:dyDescent="0.45">
      <c r="A177">
        <v>2018</v>
      </c>
      <c r="B177" t="s">
        <v>70</v>
      </c>
      <c r="C177" t="s">
        <v>69</v>
      </c>
      <c r="D177" t="s">
        <v>199</v>
      </c>
      <c r="E177" t="s">
        <v>64</v>
      </c>
      <c r="F177">
        <v>0</v>
      </c>
      <c r="G177">
        <v>28</v>
      </c>
      <c r="I177">
        <v>49.14</v>
      </c>
      <c r="J177">
        <v>25.35</v>
      </c>
      <c r="K177">
        <v>23.79</v>
      </c>
      <c r="L177">
        <v>0</v>
      </c>
      <c r="M177">
        <v>0</v>
      </c>
      <c r="N177">
        <v>0</v>
      </c>
      <c r="O177">
        <f t="shared" si="6"/>
        <v>25.35</v>
      </c>
      <c r="P177">
        <f t="shared" si="7"/>
        <v>23.79</v>
      </c>
      <c r="Q177" s="3">
        <f t="shared" si="8"/>
        <v>0.51587301587301593</v>
      </c>
      <c r="R177">
        <v>0</v>
      </c>
    </row>
    <row r="178" spans="1:18" x14ac:dyDescent="0.45">
      <c r="A178">
        <v>2018</v>
      </c>
      <c r="B178" t="s">
        <v>70</v>
      </c>
      <c r="C178" t="s">
        <v>69</v>
      </c>
      <c r="D178" t="s">
        <v>200</v>
      </c>
      <c r="E178" t="s">
        <v>50</v>
      </c>
      <c r="F178">
        <v>0</v>
      </c>
      <c r="G178">
        <v>29</v>
      </c>
      <c r="I178">
        <v>47.59</v>
      </c>
      <c r="J178">
        <v>26.66</v>
      </c>
      <c r="K178">
        <v>22.93</v>
      </c>
      <c r="L178">
        <v>0</v>
      </c>
      <c r="M178">
        <v>0</v>
      </c>
      <c r="N178">
        <v>0</v>
      </c>
      <c r="O178">
        <f t="shared" si="6"/>
        <v>26.66</v>
      </c>
      <c r="P178">
        <f t="shared" si="7"/>
        <v>22.93</v>
      </c>
      <c r="Q178" s="3">
        <f t="shared" si="8"/>
        <v>0.53760838878806205</v>
      </c>
      <c r="R178">
        <v>0</v>
      </c>
    </row>
    <row r="179" spans="1:18" x14ac:dyDescent="0.45">
      <c r="A179">
        <v>2018</v>
      </c>
      <c r="B179" t="s">
        <v>70</v>
      </c>
      <c r="C179" t="s">
        <v>69</v>
      </c>
      <c r="D179" t="s">
        <v>201</v>
      </c>
      <c r="E179" t="s">
        <v>19</v>
      </c>
      <c r="F179">
        <v>0</v>
      </c>
      <c r="G179">
        <v>30</v>
      </c>
      <c r="I179">
        <v>44.4</v>
      </c>
      <c r="J179">
        <v>21.29</v>
      </c>
      <c r="K179">
        <v>23.11</v>
      </c>
      <c r="L179">
        <v>0</v>
      </c>
      <c r="M179">
        <v>0</v>
      </c>
      <c r="N179">
        <v>0</v>
      </c>
      <c r="O179">
        <f t="shared" si="6"/>
        <v>21.29</v>
      </c>
      <c r="P179">
        <f t="shared" si="7"/>
        <v>23.11</v>
      </c>
      <c r="Q179" s="3">
        <f t="shared" si="8"/>
        <v>0.47950450450450449</v>
      </c>
      <c r="R179">
        <v>0</v>
      </c>
    </row>
    <row r="180" spans="1:18" x14ac:dyDescent="0.45">
      <c r="A180">
        <v>2014</v>
      </c>
      <c r="B180" t="s">
        <v>17</v>
      </c>
      <c r="C180">
        <v>1</v>
      </c>
      <c r="D180" t="s">
        <v>110</v>
      </c>
      <c r="E180" t="s">
        <v>21</v>
      </c>
      <c r="F180">
        <v>280.08999999999997</v>
      </c>
      <c r="G180">
        <v>1</v>
      </c>
      <c r="H180">
        <v>1</v>
      </c>
      <c r="I180">
        <v>101.45</v>
      </c>
      <c r="J180">
        <v>54.84</v>
      </c>
      <c r="K180">
        <v>46.61</v>
      </c>
      <c r="L180">
        <v>178.64</v>
      </c>
      <c r="M180">
        <v>89.66</v>
      </c>
      <c r="N180">
        <v>90.98</v>
      </c>
      <c r="O180">
        <f t="shared" si="6"/>
        <v>144.5</v>
      </c>
      <c r="P180">
        <f t="shared" si="7"/>
        <v>137.59</v>
      </c>
      <c r="Q180" s="3">
        <f t="shared" si="8"/>
        <v>0.51224786415682932</v>
      </c>
      <c r="R180">
        <v>1</v>
      </c>
    </row>
    <row r="181" spans="1:18" x14ac:dyDescent="0.45">
      <c r="A181">
        <v>2014</v>
      </c>
      <c r="B181" t="s">
        <v>17</v>
      </c>
      <c r="C181">
        <v>2</v>
      </c>
      <c r="D181" t="s">
        <v>159</v>
      </c>
      <c r="E181" t="s">
        <v>26</v>
      </c>
      <c r="F181">
        <v>275.62</v>
      </c>
      <c r="G181">
        <v>2</v>
      </c>
      <c r="H181">
        <v>2</v>
      </c>
      <c r="I181">
        <v>97.52</v>
      </c>
      <c r="J181">
        <v>50.34</v>
      </c>
      <c r="K181">
        <v>47.18</v>
      </c>
      <c r="L181">
        <v>178.1</v>
      </c>
      <c r="M181">
        <v>85.4</v>
      </c>
      <c r="N181">
        <v>92.7</v>
      </c>
      <c r="O181">
        <f t="shared" si="6"/>
        <v>135.74</v>
      </c>
      <c r="P181">
        <f t="shared" si="7"/>
        <v>139.88</v>
      </c>
      <c r="Q181" s="3">
        <f t="shared" si="8"/>
        <v>0.49248965967636604</v>
      </c>
      <c r="R181">
        <v>2</v>
      </c>
    </row>
    <row r="182" spans="1:18" x14ac:dyDescent="0.45">
      <c r="A182">
        <v>2014</v>
      </c>
      <c r="B182" t="s">
        <v>17</v>
      </c>
      <c r="C182">
        <v>3</v>
      </c>
      <c r="D182" t="s">
        <v>171</v>
      </c>
      <c r="E182" t="s">
        <v>19</v>
      </c>
      <c r="F182">
        <v>255.1</v>
      </c>
      <c r="G182">
        <v>9</v>
      </c>
      <c r="H182">
        <v>3</v>
      </c>
      <c r="I182">
        <v>84.06</v>
      </c>
      <c r="J182">
        <v>43.49</v>
      </c>
      <c r="K182">
        <v>41.57</v>
      </c>
      <c r="L182">
        <v>171.04</v>
      </c>
      <c r="M182">
        <v>88.9</v>
      </c>
      <c r="N182">
        <v>82.14</v>
      </c>
      <c r="O182">
        <f t="shared" si="6"/>
        <v>132.39000000000001</v>
      </c>
      <c r="P182">
        <f t="shared" si="7"/>
        <v>123.71000000000001</v>
      </c>
      <c r="Q182" s="3">
        <f t="shared" si="8"/>
        <v>0.51694650527137842</v>
      </c>
      <c r="R182">
        <v>3</v>
      </c>
    </row>
    <row r="183" spans="1:18" x14ac:dyDescent="0.45">
      <c r="A183">
        <v>2014</v>
      </c>
      <c r="B183" t="s">
        <v>17</v>
      </c>
      <c r="C183">
        <v>4</v>
      </c>
      <c r="D183" t="s">
        <v>155</v>
      </c>
      <c r="E183" t="s">
        <v>61</v>
      </c>
      <c r="F183">
        <v>253.92</v>
      </c>
      <c r="G183">
        <v>3</v>
      </c>
      <c r="H183">
        <v>5</v>
      </c>
      <c r="I183">
        <v>86.98</v>
      </c>
      <c r="J183">
        <v>43.87</v>
      </c>
      <c r="K183">
        <v>43.11</v>
      </c>
      <c r="L183">
        <v>166.94</v>
      </c>
      <c r="M183">
        <v>77.8</v>
      </c>
      <c r="N183">
        <v>89.14</v>
      </c>
      <c r="O183">
        <f t="shared" si="6"/>
        <v>121.66999999999999</v>
      </c>
      <c r="P183">
        <f t="shared" si="7"/>
        <v>132.25</v>
      </c>
      <c r="Q183" s="3">
        <f t="shared" si="8"/>
        <v>0.47916666666666663</v>
      </c>
      <c r="R183">
        <v>0</v>
      </c>
    </row>
    <row r="184" spans="1:18" x14ac:dyDescent="0.45">
      <c r="A184">
        <v>2014</v>
      </c>
      <c r="B184" t="s">
        <v>17</v>
      </c>
      <c r="C184">
        <v>5</v>
      </c>
      <c r="D184" t="s">
        <v>202</v>
      </c>
      <c r="E184" t="s">
        <v>21</v>
      </c>
      <c r="F184">
        <v>253.42</v>
      </c>
      <c r="G184">
        <v>11</v>
      </c>
      <c r="H184">
        <v>4</v>
      </c>
      <c r="I184">
        <v>83.48</v>
      </c>
      <c r="J184">
        <v>40.98</v>
      </c>
      <c r="K184">
        <v>42.5</v>
      </c>
      <c r="L184">
        <v>169.94</v>
      </c>
      <c r="M184">
        <v>88.22</v>
      </c>
      <c r="N184">
        <v>82.72</v>
      </c>
      <c r="O184">
        <f t="shared" si="6"/>
        <v>129.19999999999999</v>
      </c>
      <c r="P184">
        <f t="shared" si="7"/>
        <v>125.22</v>
      </c>
      <c r="Q184" s="3">
        <f t="shared" si="8"/>
        <v>0.50782171212954952</v>
      </c>
      <c r="R184">
        <v>0</v>
      </c>
    </row>
    <row r="185" spans="1:18" x14ac:dyDescent="0.45">
      <c r="A185">
        <v>2014</v>
      </c>
      <c r="B185" t="s">
        <v>17</v>
      </c>
      <c r="C185">
        <v>6</v>
      </c>
      <c r="D185" t="s">
        <v>203</v>
      </c>
      <c r="E185" t="s">
        <v>21</v>
      </c>
      <c r="F185">
        <v>250.67</v>
      </c>
      <c r="G185">
        <v>4</v>
      </c>
      <c r="H185">
        <v>6</v>
      </c>
      <c r="I185">
        <v>86.4</v>
      </c>
      <c r="J185">
        <v>41.75</v>
      </c>
      <c r="K185">
        <v>44.65</v>
      </c>
      <c r="L185">
        <v>164.27</v>
      </c>
      <c r="M185">
        <v>73.27</v>
      </c>
      <c r="N185">
        <v>91</v>
      </c>
      <c r="O185">
        <f t="shared" si="6"/>
        <v>115.02</v>
      </c>
      <c r="P185">
        <f t="shared" si="7"/>
        <v>135.65</v>
      </c>
      <c r="Q185" s="3">
        <f t="shared" si="8"/>
        <v>0.45885028124625998</v>
      </c>
      <c r="R185">
        <v>0</v>
      </c>
    </row>
    <row r="186" spans="1:18" x14ac:dyDescent="0.45">
      <c r="A186">
        <v>2014</v>
      </c>
      <c r="B186" t="s">
        <v>17</v>
      </c>
      <c r="C186">
        <v>7</v>
      </c>
      <c r="D186" t="s">
        <v>167</v>
      </c>
      <c r="E186" t="s">
        <v>46</v>
      </c>
      <c r="F186">
        <v>246.2</v>
      </c>
      <c r="G186">
        <v>8</v>
      </c>
      <c r="H186">
        <v>7</v>
      </c>
      <c r="I186">
        <v>85.66</v>
      </c>
      <c r="J186">
        <v>44.94</v>
      </c>
      <c r="K186">
        <v>40.72</v>
      </c>
      <c r="L186">
        <v>160.54</v>
      </c>
      <c r="M186">
        <v>80.599999999999994</v>
      </c>
      <c r="N186">
        <v>79.94</v>
      </c>
      <c r="O186">
        <f t="shared" si="6"/>
        <v>125.53999999999999</v>
      </c>
      <c r="P186">
        <f t="shared" si="7"/>
        <v>120.66</v>
      </c>
      <c r="Q186" s="3">
        <f t="shared" si="8"/>
        <v>0.50991064175467105</v>
      </c>
      <c r="R186">
        <v>0</v>
      </c>
    </row>
    <row r="187" spans="1:18" x14ac:dyDescent="0.45">
      <c r="A187">
        <v>2014</v>
      </c>
      <c r="B187" t="s">
        <v>17</v>
      </c>
      <c r="C187">
        <v>8</v>
      </c>
      <c r="D187" t="s">
        <v>204</v>
      </c>
      <c r="E187" t="s">
        <v>140</v>
      </c>
      <c r="F187">
        <v>239.87</v>
      </c>
      <c r="G187">
        <v>5</v>
      </c>
      <c r="H187">
        <v>9</v>
      </c>
      <c r="I187">
        <v>86.04</v>
      </c>
      <c r="J187">
        <v>47.26</v>
      </c>
      <c r="K187">
        <v>38.78</v>
      </c>
      <c r="L187">
        <v>153.83000000000001</v>
      </c>
      <c r="M187">
        <v>75.97</v>
      </c>
      <c r="N187">
        <v>78.86</v>
      </c>
      <c r="O187">
        <f t="shared" si="6"/>
        <v>123.22999999999999</v>
      </c>
      <c r="P187">
        <f t="shared" si="7"/>
        <v>117.64</v>
      </c>
      <c r="Q187" s="3">
        <f t="shared" si="8"/>
        <v>0.51160376966828569</v>
      </c>
      <c r="R187">
        <v>0</v>
      </c>
    </row>
    <row r="188" spans="1:18" x14ac:dyDescent="0.45">
      <c r="A188">
        <v>2014</v>
      </c>
      <c r="B188" t="s">
        <v>17</v>
      </c>
      <c r="C188">
        <v>9</v>
      </c>
      <c r="D188" t="s">
        <v>111</v>
      </c>
      <c r="E188" t="s">
        <v>32</v>
      </c>
      <c r="F188">
        <v>238.37</v>
      </c>
      <c r="G188">
        <v>6</v>
      </c>
      <c r="H188">
        <v>11</v>
      </c>
      <c r="I188">
        <v>86</v>
      </c>
      <c r="J188">
        <v>45.39</v>
      </c>
      <c r="K188">
        <v>40.61</v>
      </c>
      <c r="L188">
        <v>152.37</v>
      </c>
      <c r="M188">
        <v>68.09</v>
      </c>
      <c r="N188">
        <v>84.28</v>
      </c>
      <c r="O188">
        <f t="shared" si="6"/>
        <v>113.48</v>
      </c>
      <c r="P188">
        <f t="shared" si="7"/>
        <v>124.89</v>
      </c>
      <c r="Q188" s="3">
        <f t="shared" si="8"/>
        <v>0.47606661912153375</v>
      </c>
      <c r="R188">
        <v>0</v>
      </c>
    </row>
    <row r="189" spans="1:18" x14ac:dyDescent="0.45">
      <c r="A189">
        <v>2014</v>
      </c>
      <c r="B189" t="s">
        <v>17</v>
      </c>
      <c r="C189">
        <v>10</v>
      </c>
      <c r="D189" t="s">
        <v>124</v>
      </c>
      <c r="E189" t="s">
        <v>125</v>
      </c>
      <c r="F189">
        <v>233.62</v>
      </c>
      <c r="G189">
        <v>12</v>
      </c>
      <c r="H189">
        <v>13</v>
      </c>
      <c r="I189">
        <v>81.95</v>
      </c>
      <c r="J189">
        <v>42.2</v>
      </c>
      <c r="K189">
        <v>39.75</v>
      </c>
      <c r="L189">
        <v>151.66999999999999</v>
      </c>
      <c r="M189">
        <v>75.31</v>
      </c>
      <c r="N189">
        <v>77.36</v>
      </c>
      <c r="O189">
        <f t="shared" si="6"/>
        <v>117.51</v>
      </c>
      <c r="P189">
        <f t="shared" si="7"/>
        <v>117.11</v>
      </c>
      <c r="Q189" s="3">
        <f t="shared" si="8"/>
        <v>0.50085244224703773</v>
      </c>
      <c r="R189">
        <v>0</v>
      </c>
    </row>
    <row r="190" spans="1:18" x14ac:dyDescent="0.45">
      <c r="A190">
        <v>2014</v>
      </c>
      <c r="B190" t="s">
        <v>17</v>
      </c>
      <c r="C190">
        <v>11</v>
      </c>
      <c r="D190" t="s">
        <v>205</v>
      </c>
      <c r="E190" t="s">
        <v>125</v>
      </c>
      <c r="F190">
        <v>232.99</v>
      </c>
      <c r="G190">
        <v>13</v>
      </c>
      <c r="H190">
        <v>12</v>
      </c>
      <c r="I190">
        <v>81.09</v>
      </c>
      <c r="J190">
        <v>42.11</v>
      </c>
      <c r="K190">
        <v>39.979999999999997</v>
      </c>
      <c r="L190">
        <v>151.9</v>
      </c>
      <c r="M190">
        <v>73.98</v>
      </c>
      <c r="N190">
        <v>78.92</v>
      </c>
      <c r="O190">
        <f t="shared" si="6"/>
        <v>116.09</v>
      </c>
      <c r="P190">
        <f t="shared" si="7"/>
        <v>118.9</v>
      </c>
      <c r="Q190" s="3">
        <f t="shared" si="8"/>
        <v>0.49402102217115623</v>
      </c>
      <c r="R190">
        <v>0</v>
      </c>
    </row>
    <row r="191" spans="1:18" x14ac:dyDescent="0.45">
      <c r="A191">
        <v>2014</v>
      </c>
      <c r="B191" t="s">
        <v>17</v>
      </c>
      <c r="C191">
        <v>12</v>
      </c>
      <c r="D191" t="s">
        <v>206</v>
      </c>
      <c r="E191" t="s">
        <v>32</v>
      </c>
      <c r="F191">
        <v>232.7</v>
      </c>
      <c r="G191">
        <v>15</v>
      </c>
      <c r="H191">
        <v>8</v>
      </c>
      <c r="I191">
        <v>72.58</v>
      </c>
      <c r="J191">
        <v>37.21</v>
      </c>
      <c r="K191">
        <v>37.369999999999997</v>
      </c>
      <c r="L191">
        <v>160.12</v>
      </c>
      <c r="M191">
        <v>78.099999999999994</v>
      </c>
      <c r="N191">
        <v>82.02</v>
      </c>
      <c r="O191">
        <f t="shared" si="6"/>
        <v>115.31</v>
      </c>
      <c r="P191">
        <f t="shared" si="7"/>
        <v>119.38999999999999</v>
      </c>
      <c r="Q191" s="3">
        <f t="shared" si="8"/>
        <v>0.4913080528334044</v>
      </c>
      <c r="R191">
        <v>0</v>
      </c>
    </row>
    <row r="192" spans="1:18" x14ac:dyDescent="0.45">
      <c r="A192">
        <v>2014</v>
      </c>
      <c r="B192" t="s">
        <v>17</v>
      </c>
      <c r="C192">
        <v>13</v>
      </c>
      <c r="D192" t="s">
        <v>207</v>
      </c>
      <c r="E192" t="s">
        <v>30</v>
      </c>
      <c r="F192">
        <v>231.77</v>
      </c>
      <c r="G192">
        <v>7</v>
      </c>
      <c r="H192">
        <v>14</v>
      </c>
      <c r="I192">
        <v>85.84</v>
      </c>
      <c r="J192">
        <v>45.11</v>
      </c>
      <c r="K192">
        <v>40.729999999999997</v>
      </c>
      <c r="L192">
        <v>145.93</v>
      </c>
      <c r="M192">
        <v>69.510000000000005</v>
      </c>
      <c r="N192">
        <v>76.42</v>
      </c>
      <c r="O192">
        <f t="shared" si="6"/>
        <v>114.62</v>
      </c>
      <c r="P192">
        <f t="shared" si="7"/>
        <v>117.15</v>
      </c>
      <c r="Q192" s="3">
        <f t="shared" si="8"/>
        <v>0.49454200284765071</v>
      </c>
      <c r="R192">
        <v>0</v>
      </c>
    </row>
    <row r="193" spans="1:18" x14ac:dyDescent="0.45">
      <c r="A193">
        <v>2014</v>
      </c>
      <c r="B193" t="s">
        <v>17</v>
      </c>
      <c r="C193">
        <v>14</v>
      </c>
      <c r="D193" t="s">
        <v>208</v>
      </c>
      <c r="E193" t="s">
        <v>64</v>
      </c>
      <c r="F193">
        <v>224.86</v>
      </c>
      <c r="G193">
        <v>10</v>
      </c>
      <c r="H193">
        <v>16</v>
      </c>
      <c r="I193">
        <v>83.81</v>
      </c>
      <c r="J193">
        <v>45.52</v>
      </c>
      <c r="K193">
        <v>38.29</v>
      </c>
      <c r="L193">
        <v>141.05000000000001</v>
      </c>
      <c r="M193">
        <v>66.05</v>
      </c>
      <c r="N193">
        <v>75</v>
      </c>
      <c r="O193">
        <f t="shared" si="6"/>
        <v>111.57</v>
      </c>
      <c r="P193">
        <f t="shared" si="7"/>
        <v>113.28999999999999</v>
      </c>
      <c r="Q193" s="3">
        <f t="shared" si="8"/>
        <v>0.49617539802543803</v>
      </c>
      <c r="R193">
        <v>0</v>
      </c>
    </row>
    <row r="194" spans="1:18" x14ac:dyDescent="0.45">
      <c r="A194">
        <v>2014</v>
      </c>
      <c r="B194" t="s">
        <v>17</v>
      </c>
      <c r="C194">
        <v>15</v>
      </c>
      <c r="D194" t="s">
        <v>209</v>
      </c>
      <c r="E194" t="s">
        <v>26</v>
      </c>
      <c r="F194">
        <v>222.23</v>
      </c>
      <c r="G194">
        <v>17</v>
      </c>
      <c r="H194">
        <v>10</v>
      </c>
      <c r="I194">
        <v>68.760000000000005</v>
      </c>
      <c r="J194">
        <v>33.979999999999997</v>
      </c>
      <c r="K194">
        <v>36.78</v>
      </c>
      <c r="L194">
        <v>153.47</v>
      </c>
      <c r="M194">
        <v>79.83</v>
      </c>
      <c r="N194">
        <v>73.64</v>
      </c>
      <c r="O194">
        <f t="shared" si="6"/>
        <v>113.81</v>
      </c>
      <c r="P194">
        <f t="shared" si="7"/>
        <v>110.42</v>
      </c>
      <c r="Q194" s="3">
        <f t="shared" si="8"/>
        <v>0.50755920260446863</v>
      </c>
      <c r="R194">
        <v>0</v>
      </c>
    </row>
    <row r="195" spans="1:18" x14ac:dyDescent="0.45">
      <c r="A195">
        <v>2014</v>
      </c>
      <c r="B195" t="s">
        <v>17</v>
      </c>
      <c r="C195">
        <v>16</v>
      </c>
      <c r="D195" t="s">
        <v>162</v>
      </c>
      <c r="E195" t="s">
        <v>84</v>
      </c>
      <c r="F195">
        <v>214.04</v>
      </c>
      <c r="G195">
        <v>16</v>
      </c>
      <c r="H195">
        <v>15</v>
      </c>
      <c r="I195">
        <v>72.52</v>
      </c>
      <c r="J195">
        <v>39.880000000000003</v>
      </c>
      <c r="K195">
        <v>32.64</v>
      </c>
      <c r="L195">
        <v>141.52000000000001</v>
      </c>
      <c r="M195">
        <v>73.88</v>
      </c>
      <c r="N195">
        <v>67.64</v>
      </c>
      <c r="O195">
        <f t="shared" ref="O195:O258" si="9">J195+M195</f>
        <v>113.75999999999999</v>
      </c>
      <c r="P195">
        <f t="shared" ref="P195:P258" si="10">K195+N195</f>
        <v>100.28</v>
      </c>
      <c r="Q195" s="3">
        <f t="shared" ref="Q195:Q258" si="11">IF(O195+P195=0,"",O195/(O195+P195))</f>
        <v>0.53148944122593911</v>
      </c>
      <c r="R195">
        <v>0</v>
      </c>
    </row>
    <row r="196" spans="1:18" x14ac:dyDescent="0.45">
      <c r="A196">
        <v>2014</v>
      </c>
      <c r="B196" t="s">
        <v>17</v>
      </c>
      <c r="C196">
        <v>17</v>
      </c>
      <c r="D196" t="s">
        <v>163</v>
      </c>
      <c r="E196" t="s">
        <v>164</v>
      </c>
      <c r="F196">
        <v>203.26</v>
      </c>
      <c r="G196">
        <v>18</v>
      </c>
      <c r="H196">
        <v>17</v>
      </c>
      <c r="I196">
        <v>68.069999999999993</v>
      </c>
      <c r="J196">
        <v>35.64</v>
      </c>
      <c r="K196">
        <v>32.43</v>
      </c>
      <c r="L196">
        <v>135.19</v>
      </c>
      <c r="M196">
        <v>69.63</v>
      </c>
      <c r="N196">
        <v>65.56</v>
      </c>
      <c r="O196">
        <f t="shared" si="9"/>
        <v>105.27</v>
      </c>
      <c r="P196">
        <f t="shared" si="10"/>
        <v>97.990000000000009</v>
      </c>
      <c r="Q196" s="3">
        <f t="shared" si="11"/>
        <v>0.51790809800255833</v>
      </c>
      <c r="R196">
        <v>0</v>
      </c>
    </row>
    <row r="197" spans="1:18" x14ac:dyDescent="0.45">
      <c r="A197">
        <v>2014</v>
      </c>
      <c r="B197" t="s">
        <v>17</v>
      </c>
      <c r="C197">
        <v>18</v>
      </c>
      <c r="D197" t="s">
        <v>210</v>
      </c>
      <c r="E197" t="s">
        <v>30</v>
      </c>
      <c r="F197">
        <v>198.64</v>
      </c>
      <c r="G197">
        <v>14</v>
      </c>
      <c r="H197">
        <v>18</v>
      </c>
      <c r="I197">
        <v>75.58</v>
      </c>
      <c r="J197">
        <v>35.79</v>
      </c>
      <c r="K197">
        <v>39.79</v>
      </c>
      <c r="L197">
        <v>123.06</v>
      </c>
      <c r="M197">
        <v>49</v>
      </c>
      <c r="N197">
        <v>74.06</v>
      </c>
      <c r="O197">
        <f t="shared" si="9"/>
        <v>84.789999999999992</v>
      </c>
      <c r="P197">
        <f t="shared" si="10"/>
        <v>113.85</v>
      </c>
      <c r="Q197" s="3">
        <f t="shared" si="11"/>
        <v>0.42685259766411598</v>
      </c>
      <c r="R197">
        <v>0</v>
      </c>
    </row>
    <row r="198" spans="1:18" x14ac:dyDescent="0.45">
      <c r="A198">
        <v>2014</v>
      </c>
      <c r="B198" t="s">
        <v>17</v>
      </c>
      <c r="C198">
        <v>19</v>
      </c>
      <c r="D198" t="s">
        <v>172</v>
      </c>
      <c r="E198" t="s">
        <v>173</v>
      </c>
      <c r="F198">
        <v>184.25</v>
      </c>
      <c r="G198">
        <v>19</v>
      </c>
      <c r="H198">
        <v>20</v>
      </c>
      <c r="I198">
        <v>64.81</v>
      </c>
      <c r="J198">
        <v>33.31</v>
      </c>
      <c r="K198">
        <v>31.5</v>
      </c>
      <c r="L198">
        <v>119.44</v>
      </c>
      <c r="M198">
        <v>62.58</v>
      </c>
      <c r="N198">
        <v>57.86</v>
      </c>
      <c r="O198">
        <f t="shared" si="9"/>
        <v>95.89</v>
      </c>
      <c r="P198">
        <f t="shared" si="10"/>
        <v>89.36</v>
      </c>
      <c r="Q198" s="3">
        <f t="shared" si="11"/>
        <v>0.5176248313090418</v>
      </c>
      <c r="R198">
        <v>0</v>
      </c>
    </row>
    <row r="199" spans="1:18" x14ac:dyDescent="0.45">
      <c r="A199">
        <v>2014</v>
      </c>
      <c r="B199" t="s">
        <v>17</v>
      </c>
      <c r="C199">
        <v>20</v>
      </c>
      <c r="D199" t="s">
        <v>211</v>
      </c>
      <c r="E199" t="s">
        <v>50</v>
      </c>
      <c r="F199">
        <v>182.19</v>
      </c>
      <c r="G199">
        <v>21</v>
      </c>
      <c r="H199">
        <v>19</v>
      </c>
      <c r="I199">
        <v>62.65</v>
      </c>
      <c r="J199">
        <v>34.08</v>
      </c>
      <c r="K199">
        <v>28.57</v>
      </c>
      <c r="L199">
        <v>119.54</v>
      </c>
      <c r="M199">
        <v>65.12</v>
      </c>
      <c r="N199">
        <v>54.42</v>
      </c>
      <c r="O199">
        <f t="shared" si="9"/>
        <v>99.2</v>
      </c>
      <c r="P199">
        <f t="shared" si="10"/>
        <v>82.990000000000009</v>
      </c>
      <c r="Q199" s="3">
        <f t="shared" si="11"/>
        <v>0.54448652505625994</v>
      </c>
      <c r="R199">
        <v>0</v>
      </c>
    </row>
    <row r="200" spans="1:18" x14ac:dyDescent="0.45">
      <c r="A200">
        <v>2014</v>
      </c>
      <c r="B200" t="s">
        <v>17</v>
      </c>
      <c r="C200">
        <v>21</v>
      </c>
      <c r="D200" t="s">
        <v>126</v>
      </c>
      <c r="E200" t="s">
        <v>99</v>
      </c>
      <c r="F200">
        <v>177.06</v>
      </c>
      <c r="G200">
        <v>22</v>
      </c>
      <c r="H200">
        <v>21</v>
      </c>
      <c r="I200">
        <v>62.44</v>
      </c>
      <c r="J200">
        <v>32.049999999999997</v>
      </c>
      <c r="K200">
        <v>31.39</v>
      </c>
      <c r="L200">
        <v>114.62</v>
      </c>
      <c r="M200">
        <v>59.96</v>
      </c>
      <c r="N200">
        <v>55.66</v>
      </c>
      <c r="O200">
        <f t="shared" si="9"/>
        <v>92.009999999999991</v>
      </c>
      <c r="P200">
        <f t="shared" si="10"/>
        <v>87.05</v>
      </c>
      <c r="Q200" s="3">
        <f t="shared" si="11"/>
        <v>0.51385010610968385</v>
      </c>
      <c r="R200">
        <v>0</v>
      </c>
    </row>
    <row r="201" spans="1:18" x14ac:dyDescent="0.45">
      <c r="A201">
        <v>2014</v>
      </c>
      <c r="B201" t="s">
        <v>17</v>
      </c>
      <c r="C201">
        <v>22</v>
      </c>
      <c r="D201" t="s">
        <v>212</v>
      </c>
      <c r="E201" t="s">
        <v>19</v>
      </c>
      <c r="F201">
        <v>174.4</v>
      </c>
      <c r="G201">
        <v>20</v>
      </c>
      <c r="H201">
        <v>22</v>
      </c>
      <c r="I201">
        <v>64.180000000000007</v>
      </c>
      <c r="J201">
        <v>34.5</v>
      </c>
      <c r="K201">
        <v>29.68</v>
      </c>
      <c r="L201">
        <v>110.22</v>
      </c>
      <c r="M201">
        <v>53.92</v>
      </c>
      <c r="N201">
        <v>56.3</v>
      </c>
      <c r="O201">
        <f t="shared" si="9"/>
        <v>88.42</v>
      </c>
      <c r="P201">
        <f t="shared" si="10"/>
        <v>85.97999999999999</v>
      </c>
      <c r="Q201" s="3">
        <f t="shared" si="11"/>
        <v>0.50699541284403682</v>
      </c>
      <c r="R201">
        <v>0</v>
      </c>
    </row>
    <row r="202" spans="1:18" x14ac:dyDescent="0.45">
      <c r="A202">
        <v>2014</v>
      </c>
      <c r="B202" t="s">
        <v>17</v>
      </c>
      <c r="C202">
        <v>23</v>
      </c>
      <c r="D202" t="s">
        <v>213</v>
      </c>
      <c r="E202" t="s">
        <v>90</v>
      </c>
      <c r="F202">
        <v>158.76</v>
      </c>
      <c r="G202">
        <v>24</v>
      </c>
      <c r="H202">
        <v>23</v>
      </c>
      <c r="I202">
        <v>60.41</v>
      </c>
      <c r="J202">
        <v>30.4</v>
      </c>
      <c r="K202">
        <v>30.01</v>
      </c>
      <c r="L202">
        <v>98.35</v>
      </c>
      <c r="M202">
        <v>50.27</v>
      </c>
      <c r="N202">
        <v>51.08</v>
      </c>
      <c r="O202">
        <f t="shared" si="9"/>
        <v>80.67</v>
      </c>
      <c r="P202">
        <f t="shared" si="10"/>
        <v>81.09</v>
      </c>
      <c r="Q202" s="3">
        <f t="shared" si="11"/>
        <v>0.49870178041543028</v>
      </c>
      <c r="R202">
        <v>0</v>
      </c>
    </row>
    <row r="203" spans="1:18" x14ac:dyDescent="0.45">
      <c r="A203">
        <v>2014</v>
      </c>
      <c r="B203" t="s">
        <v>17</v>
      </c>
      <c r="C203">
        <v>24</v>
      </c>
      <c r="D203" t="s">
        <v>214</v>
      </c>
      <c r="E203" t="s">
        <v>44</v>
      </c>
      <c r="F203">
        <v>139.99</v>
      </c>
      <c r="G203">
        <v>23</v>
      </c>
      <c r="H203">
        <v>24</v>
      </c>
      <c r="I203">
        <v>61.55</v>
      </c>
      <c r="J203">
        <v>34.159999999999997</v>
      </c>
      <c r="K203">
        <v>27.39</v>
      </c>
      <c r="L203">
        <v>78.44</v>
      </c>
      <c r="M203">
        <v>32.42</v>
      </c>
      <c r="N203">
        <v>48.02</v>
      </c>
      <c r="O203">
        <f t="shared" si="9"/>
        <v>66.58</v>
      </c>
      <c r="P203">
        <f t="shared" si="10"/>
        <v>75.41</v>
      </c>
      <c r="Q203" s="3">
        <f t="shared" si="11"/>
        <v>0.46890626100429605</v>
      </c>
      <c r="R203">
        <v>0</v>
      </c>
    </row>
    <row r="204" spans="1:18" x14ac:dyDescent="0.45">
      <c r="A204">
        <v>2014</v>
      </c>
      <c r="B204" t="s">
        <v>17</v>
      </c>
      <c r="C204" t="s">
        <v>69</v>
      </c>
      <c r="D204" t="s">
        <v>215</v>
      </c>
      <c r="E204" t="s">
        <v>61</v>
      </c>
      <c r="F204">
        <v>0</v>
      </c>
      <c r="G204">
        <v>25</v>
      </c>
      <c r="H204">
        <v>0</v>
      </c>
      <c r="I204">
        <v>59.76</v>
      </c>
      <c r="J204">
        <v>28.91</v>
      </c>
      <c r="K204">
        <v>30.85</v>
      </c>
      <c r="L204">
        <v>0</v>
      </c>
      <c r="M204">
        <v>0</v>
      </c>
      <c r="N204">
        <v>0</v>
      </c>
      <c r="O204">
        <f t="shared" si="9"/>
        <v>28.91</v>
      </c>
      <c r="P204">
        <f t="shared" si="10"/>
        <v>30.85</v>
      </c>
      <c r="Q204" s="3">
        <f t="shared" si="11"/>
        <v>0.48376840696117801</v>
      </c>
      <c r="R204">
        <v>0</v>
      </c>
    </row>
    <row r="205" spans="1:18" x14ac:dyDescent="0.45">
      <c r="A205">
        <v>2014</v>
      </c>
      <c r="B205" t="s">
        <v>17</v>
      </c>
      <c r="C205" t="s">
        <v>69</v>
      </c>
      <c r="D205" t="s">
        <v>216</v>
      </c>
      <c r="E205" t="s">
        <v>92</v>
      </c>
      <c r="F205">
        <v>0</v>
      </c>
      <c r="G205">
        <v>26</v>
      </c>
      <c r="H205">
        <v>0</v>
      </c>
      <c r="I205">
        <v>56.6</v>
      </c>
      <c r="J205">
        <v>25.23</v>
      </c>
      <c r="K205">
        <v>31.37</v>
      </c>
      <c r="L205">
        <v>0</v>
      </c>
      <c r="M205">
        <v>0</v>
      </c>
      <c r="N205">
        <v>0</v>
      </c>
      <c r="O205">
        <f t="shared" si="9"/>
        <v>25.23</v>
      </c>
      <c r="P205">
        <f t="shared" si="10"/>
        <v>31.37</v>
      </c>
      <c r="Q205" s="3">
        <f t="shared" si="11"/>
        <v>0.4457597173144876</v>
      </c>
      <c r="R205">
        <v>0</v>
      </c>
    </row>
    <row r="206" spans="1:18" x14ac:dyDescent="0.45">
      <c r="A206">
        <v>2014</v>
      </c>
      <c r="B206" t="s">
        <v>17</v>
      </c>
      <c r="C206" t="s">
        <v>69</v>
      </c>
      <c r="D206" t="s">
        <v>217</v>
      </c>
      <c r="E206" t="s">
        <v>34</v>
      </c>
      <c r="F206">
        <v>0</v>
      </c>
      <c r="G206">
        <v>27</v>
      </c>
      <c r="H206">
        <v>0</v>
      </c>
      <c r="I206">
        <v>56.3</v>
      </c>
      <c r="J206">
        <v>28.91</v>
      </c>
      <c r="K206">
        <v>28.39</v>
      </c>
      <c r="L206">
        <v>0</v>
      </c>
      <c r="M206">
        <v>0</v>
      </c>
      <c r="N206">
        <v>0</v>
      </c>
      <c r="O206">
        <f t="shared" si="9"/>
        <v>28.91</v>
      </c>
      <c r="P206">
        <f t="shared" si="10"/>
        <v>28.39</v>
      </c>
      <c r="Q206" s="3">
        <f t="shared" si="11"/>
        <v>0.50453752181500877</v>
      </c>
      <c r="R206">
        <v>0</v>
      </c>
    </row>
    <row r="207" spans="1:18" x14ac:dyDescent="0.45">
      <c r="A207">
        <v>2014</v>
      </c>
      <c r="B207" t="s">
        <v>17</v>
      </c>
      <c r="C207" t="s">
        <v>69</v>
      </c>
      <c r="D207" t="s">
        <v>218</v>
      </c>
      <c r="E207" t="s">
        <v>26</v>
      </c>
      <c r="F207">
        <v>0</v>
      </c>
      <c r="G207">
        <v>28</v>
      </c>
      <c r="H207">
        <v>0</v>
      </c>
      <c r="I207">
        <v>55.04</v>
      </c>
      <c r="J207">
        <v>27.47</v>
      </c>
      <c r="K207">
        <v>29.57</v>
      </c>
      <c r="L207">
        <v>0</v>
      </c>
      <c r="M207">
        <v>0</v>
      </c>
      <c r="N207">
        <v>0</v>
      </c>
      <c r="O207">
        <f t="shared" si="9"/>
        <v>27.47</v>
      </c>
      <c r="P207">
        <f t="shared" si="10"/>
        <v>29.57</v>
      </c>
      <c r="Q207" s="3">
        <f t="shared" si="11"/>
        <v>0.48159186535764376</v>
      </c>
      <c r="R207">
        <v>0</v>
      </c>
    </row>
    <row r="208" spans="1:18" x14ac:dyDescent="0.45">
      <c r="A208">
        <v>2014</v>
      </c>
      <c r="B208" t="s">
        <v>17</v>
      </c>
      <c r="C208" t="s">
        <v>69</v>
      </c>
      <c r="D208" t="s">
        <v>117</v>
      </c>
      <c r="E208" t="s">
        <v>118</v>
      </c>
      <c r="F208">
        <v>0</v>
      </c>
      <c r="G208">
        <v>29</v>
      </c>
      <c r="H208">
        <v>0</v>
      </c>
      <c r="I208">
        <v>47.12</v>
      </c>
      <c r="J208">
        <v>21.87</v>
      </c>
      <c r="K208">
        <v>26.25</v>
      </c>
      <c r="L208">
        <v>0</v>
      </c>
      <c r="M208">
        <v>0</v>
      </c>
      <c r="N208">
        <v>0</v>
      </c>
      <c r="O208">
        <f t="shared" si="9"/>
        <v>21.87</v>
      </c>
      <c r="P208">
        <f t="shared" si="10"/>
        <v>26.25</v>
      </c>
      <c r="Q208" s="3">
        <f t="shared" si="11"/>
        <v>0.45448877805486282</v>
      </c>
      <c r="R208">
        <v>0</v>
      </c>
    </row>
    <row r="209" spans="1:18" x14ac:dyDescent="0.45">
      <c r="A209">
        <v>2014</v>
      </c>
      <c r="B209" t="s">
        <v>17</v>
      </c>
      <c r="C209" t="s">
        <v>129</v>
      </c>
      <c r="D209" t="s">
        <v>219</v>
      </c>
      <c r="E209" t="s">
        <v>220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f t="shared" si="9"/>
        <v>0</v>
      </c>
      <c r="P209">
        <f t="shared" si="10"/>
        <v>0</v>
      </c>
      <c r="Q209" s="3">
        <v>0</v>
      </c>
      <c r="R209">
        <v>0</v>
      </c>
    </row>
    <row r="210" spans="1:18" x14ac:dyDescent="0.45">
      <c r="A210">
        <v>2014</v>
      </c>
      <c r="B210" t="s">
        <v>70</v>
      </c>
      <c r="C210">
        <v>1</v>
      </c>
      <c r="D210" t="s">
        <v>221</v>
      </c>
      <c r="E210" t="s">
        <v>220</v>
      </c>
      <c r="F210">
        <v>224.59</v>
      </c>
      <c r="G210">
        <v>2</v>
      </c>
      <c r="H210">
        <v>1</v>
      </c>
      <c r="I210">
        <v>74.64</v>
      </c>
      <c r="J210">
        <v>39.090000000000003</v>
      </c>
      <c r="K210">
        <v>35.549999999999997</v>
      </c>
      <c r="L210">
        <v>149.94999999999999</v>
      </c>
      <c r="M210">
        <v>75.540000000000006</v>
      </c>
      <c r="N210">
        <v>74.41</v>
      </c>
      <c r="O210">
        <f t="shared" si="9"/>
        <v>114.63000000000001</v>
      </c>
      <c r="P210">
        <f t="shared" si="10"/>
        <v>109.96</v>
      </c>
      <c r="Q210" s="3">
        <f t="shared" si="11"/>
        <v>0.51039672291731608</v>
      </c>
      <c r="R210">
        <v>1</v>
      </c>
    </row>
    <row r="211" spans="1:18" x14ac:dyDescent="0.45">
      <c r="A211">
        <v>2014</v>
      </c>
      <c r="B211" t="s">
        <v>70</v>
      </c>
      <c r="C211">
        <v>2</v>
      </c>
      <c r="D211" t="s">
        <v>222</v>
      </c>
      <c r="E211" t="s">
        <v>24</v>
      </c>
      <c r="F211">
        <v>219.11</v>
      </c>
      <c r="G211">
        <v>1</v>
      </c>
      <c r="H211">
        <v>2</v>
      </c>
      <c r="I211">
        <v>74.92</v>
      </c>
      <c r="J211">
        <v>39.03</v>
      </c>
      <c r="K211">
        <v>35.89</v>
      </c>
      <c r="L211">
        <v>144.19</v>
      </c>
      <c r="M211">
        <v>69.69</v>
      </c>
      <c r="N211">
        <v>74.5</v>
      </c>
      <c r="O211">
        <f t="shared" si="9"/>
        <v>108.72</v>
      </c>
      <c r="P211">
        <f t="shared" si="10"/>
        <v>110.39</v>
      </c>
      <c r="Q211" s="3">
        <f t="shared" si="11"/>
        <v>0.49618912874811733</v>
      </c>
      <c r="R211">
        <v>2</v>
      </c>
    </row>
    <row r="212" spans="1:18" x14ac:dyDescent="0.45">
      <c r="A212">
        <v>2014</v>
      </c>
      <c r="B212" t="s">
        <v>70</v>
      </c>
      <c r="C212">
        <v>3</v>
      </c>
      <c r="D212" t="s">
        <v>180</v>
      </c>
      <c r="E212" t="s">
        <v>34</v>
      </c>
      <c r="F212">
        <v>216.73</v>
      </c>
      <c r="G212">
        <v>3</v>
      </c>
      <c r="H212">
        <v>4</v>
      </c>
      <c r="I212">
        <v>74.12</v>
      </c>
      <c r="J212">
        <v>37.49</v>
      </c>
      <c r="K212">
        <v>36.630000000000003</v>
      </c>
      <c r="L212">
        <v>142.61000000000001</v>
      </c>
      <c r="M212">
        <v>68.84</v>
      </c>
      <c r="N212">
        <v>73.77</v>
      </c>
      <c r="O212">
        <f t="shared" si="9"/>
        <v>106.33000000000001</v>
      </c>
      <c r="P212">
        <f t="shared" si="10"/>
        <v>110.4</v>
      </c>
      <c r="Q212" s="3">
        <f t="shared" si="11"/>
        <v>0.49061043694919948</v>
      </c>
      <c r="R212">
        <v>3</v>
      </c>
    </row>
    <row r="213" spans="1:18" x14ac:dyDescent="0.45">
      <c r="A213">
        <v>2014</v>
      </c>
      <c r="B213" t="s">
        <v>70</v>
      </c>
      <c r="C213">
        <v>4</v>
      </c>
      <c r="D213" t="s">
        <v>223</v>
      </c>
      <c r="E213" t="s">
        <v>32</v>
      </c>
      <c r="F213">
        <v>205.53</v>
      </c>
      <c r="G213">
        <v>4</v>
      </c>
      <c r="H213">
        <v>5</v>
      </c>
      <c r="I213">
        <v>68.63</v>
      </c>
      <c r="J213">
        <v>36.549999999999997</v>
      </c>
      <c r="K213">
        <v>32.08</v>
      </c>
      <c r="L213">
        <v>136.9</v>
      </c>
      <c r="M213">
        <v>69.569999999999993</v>
      </c>
      <c r="N213">
        <v>68.33</v>
      </c>
      <c r="O213">
        <f t="shared" si="9"/>
        <v>106.11999999999999</v>
      </c>
      <c r="P213">
        <f t="shared" si="10"/>
        <v>100.41</v>
      </c>
      <c r="Q213" s="3">
        <f t="shared" si="11"/>
        <v>0.51382365758001258</v>
      </c>
      <c r="R213">
        <v>0</v>
      </c>
    </row>
    <row r="214" spans="1:18" x14ac:dyDescent="0.45">
      <c r="A214">
        <v>2014</v>
      </c>
      <c r="B214" t="s">
        <v>70</v>
      </c>
      <c r="C214">
        <v>5</v>
      </c>
      <c r="D214" t="s">
        <v>224</v>
      </c>
      <c r="E214" t="s">
        <v>220</v>
      </c>
      <c r="F214">
        <v>200.57</v>
      </c>
      <c r="G214">
        <v>5</v>
      </c>
      <c r="H214">
        <v>6</v>
      </c>
      <c r="I214">
        <v>65.23</v>
      </c>
      <c r="J214">
        <v>33.15</v>
      </c>
      <c r="K214">
        <v>33.08</v>
      </c>
      <c r="L214">
        <v>135.34</v>
      </c>
      <c r="M214">
        <v>66.28</v>
      </c>
      <c r="N214">
        <v>70.06</v>
      </c>
      <c r="O214">
        <f t="shared" si="9"/>
        <v>99.43</v>
      </c>
      <c r="P214">
        <f t="shared" si="10"/>
        <v>103.14</v>
      </c>
      <c r="Q214" s="3">
        <f t="shared" si="11"/>
        <v>0.49084267166905271</v>
      </c>
      <c r="R214">
        <v>0</v>
      </c>
    </row>
    <row r="215" spans="1:18" x14ac:dyDescent="0.45">
      <c r="A215">
        <v>2014</v>
      </c>
      <c r="B215" t="s">
        <v>70</v>
      </c>
      <c r="C215">
        <v>6</v>
      </c>
      <c r="D215" t="s">
        <v>225</v>
      </c>
      <c r="E215" t="s">
        <v>21</v>
      </c>
      <c r="F215">
        <v>198.22</v>
      </c>
      <c r="G215">
        <v>16</v>
      </c>
      <c r="H215">
        <v>3</v>
      </c>
      <c r="I215">
        <v>55.51</v>
      </c>
      <c r="J215">
        <v>22.63</v>
      </c>
      <c r="K215">
        <v>33.880000000000003</v>
      </c>
      <c r="L215">
        <v>142.71</v>
      </c>
      <c r="M215">
        <v>73.03</v>
      </c>
      <c r="N215">
        <v>69.680000000000007</v>
      </c>
      <c r="O215">
        <f t="shared" si="9"/>
        <v>95.66</v>
      </c>
      <c r="P215">
        <f t="shared" si="10"/>
        <v>103.56</v>
      </c>
      <c r="Q215" s="3">
        <f t="shared" si="11"/>
        <v>0.48017267342636283</v>
      </c>
      <c r="R215">
        <v>0</v>
      </c>
    </row>
    <row r="216" spans="1:18" x14ac:dyDescent="0.45">
      <c r="A216">
        <v>2014</v>
      </c>
      <c r="B216" t="s">
        <v>70</v>
      </c>
      <c r="C216">
        <v>7</v>
      </c>
      <c r="D216" t="s">
        <v>226</v>
      </c>
      <c r="E216" t="s">
        <v>32</v>
      </c>
      <c r="F216">
        <v>193.2</v>
      </c>
      <c r="G216">
        <v>6</v>
      </c>
      <c r="H216">
        <v>7</v>
      </c>
      <c r="I216">
        <v>65.209999999999994</v>
      </c>
      <c r="J216">
        <v>31.43</v>
      </c>
      <c r="K216">
        <v>33.78</v>
      </c>
      <c r="L216">
        <v>127.99</v>
      </c>
      <c r="M216">
        <v>61.07</v>
      </c>
      <c r="N216">
        <v>66.92</v>
      </c>
      <c r="O216">
        <f t="shared" si="9"/>
        <v>92.5</v>
      </c>
      <c r="P216">
        <f t="shared" si="10"/>
        <v>100.7</v>
      </c>
      <c r="Q216" s="3">
        <f t="shared" si="11"/>
        <v>0.47877846790890272</v>
      </c>
      <c r="R216">
        <v>0</v>
      </c>
    </row>
    <row r="217" spans="1:18" x14ac:dyDescent="0.45">
      <c r="A217">
        <v>2014</v>
      </c>
      <c r="B217" t="s">
        <v>70</v>
      </c>
      <c r="C217">
        <v>8</v>
      </c>
      <c r="D217" t="s">
        <v>227</v>
      </c>
      <c r="E217" t="s">
        <v>21</v>
      </c>
      <c r="F217">
        <v>186.32</v>
      </c>
      <c r="G217">
        <v>8</v>
      </c>
      <c r="H217">
        <v>8</v>
      </c>
      <c r="I217">
        <v>60.97</v>
      </c>
      <c r="J217">
        <v>28.71</v>
      </c>
      <c r="K217">
        <v>32.26</v>
      </c>
      <c r="L217">
        <v>125.35</v>
      </c>
      <c r="M217">
        <v>60.57</v>
      </c>
      <c r="N217">
        <v>65.78</v>
      </c>
      <c r="O217">
        <f t="shared" si="9"/>
        <v>89.28</v>
      </c>
      <c r="P217">
        <f t="shared" si="10"/>
        <v>98.039999999999992</v>
      </c>
      <c r="Q217" s="3">
        <f t="shared" si="11"/>
        <v>0.4766175528507367</v>
      </c>
      <c r="R217">
        <v>0</v>
      </c>
    </row>
    <row r="218" spans="1:18" x14ac:dyDescent="0.45">
      <c r="A218">
        <v>2014</v>
      </c>
      <c r="B218" t="s">
        <v>70</v>
      </c>
      <c r="C218">
        <v>9</v>
      </c>
      <c r="D218" t="s">
        <v>228</v>
      </c>
      <c r="E218" t="s">
        <v>32</v>
      </c>
      <c r="F218">
        <v>183.25</v>
      </c>
      <c r="G218">
        <v>7</v>
      </c>
      <c r="H218">
        <v>9</v>
      </c>
      <c r="I218">
        <v>61.04</v>
      </c>
      <c r="J218">
        <v>32.979999999999997</v>
      </c>
      <c r="K218">
        <v>28.06</v>
      </c>
      <c r="L218">
        <v>122.21</v>
      </c>
      <c r="M218">
        <v>63.02</v>
      </c>
      <c r="N218">
        <v>60.19</v>
      </c>
      <c r="O218">
        <f t="shared" si="9"/>
        <v>96</v>
      </c>
      <c r="P218">
        <f t="shared" si="10"/>
        <v>88.25</v>
      </c>
      <c r="Q218" s="3">
        <f t="shared" si="11"/>
        <v>0.52103120759837174</v>
      </c>
      <c r="R218">
        <v>0</v>
      </c>
    </row>
    <row r="219" spans="1:18" x14ac:dyDescent="0.45">
      <c r="A219">
        <v>2014</v>
      </c>
      <c r="B219" t="s">
        <v>70</v>
      </c>
      <c r="C219">
        <v>10</v>
      </c>
      <c r="D219" t="s">
        <v>189</v>
      </c>
      <c r="E219" t="s">
        <v>30</v>
      </c>
      <c r="F219">
        <v>174.53</v>
      </c>
      <c r="G219">
        <v>9</v>
      </c>
      <c r="H219">
        <v>11</v>
      </c>
      <c r="I219">
        <v>58.63</v>
      </c>
      <c r="J219">
        <v>30.83</v>
      </c>
      <c r="K219">
        <v>27.8</v>
      </c>
      <c r="L219">
        <v>115.9</v>
      </c>
      <c r="M219">
        <v>60.86</v>
      </c>
      <c r="N219">
        <v>56.04</v>
      </c>
      <c r="O219">
        <f t="shared" si="9"/>
        <v>91.69</v>
      </c>
      <c r="P219">
        <f t="shared" si="10"/>
        <v>83.84</v>
      </c>
      <c r="Q219" s="3">
        <f t="shared" si="11"/>
        <v>0.52236084999715149</v>
      </c>
      <c r="R219">
        <v>0</v>
      </c>
    </row>
    <row r="220" spans="1:18" x14ac:dyDescent="0.45">
      <c r="A220">
        <v>2014</v>
      </c>
      <c r="B220" t="s">
        <v>70</v>
      </c>
      <c r="C220">
        <v>11</v>
      </c>
      <c r="D220" t="s">
        <v>229</v>
      </c>
      <c r="E220" t="s">
        <v>34</v>
      </c>
      <c r="F220">
        <v>173.33</v>
      </c>
      <c r="G220">
        <v>12</v>
      </c>
      <c r="H220">
        <v>10</v>
      </c>
      <c r="I220">
        <v>57.02</v>
      </c>
      <c r="J220">
        <v>27.52</v>
      </c>
      <c r="K220">
        <v>29.5</v>
      </c>
      <c r="L220">
        <v>116.31</v>
      </c>
      <c r="M220">
        <v>55.56</v>
      </c>
      <c r="N220">
        <v>60.75</v>
      </c>
      <c r="O220">
        <f t="shared" si="9"/>
        <v>83.08</v>
      </c>
      <c r="P220">
        <f t="shared" si="10"/>
        <v>90.25</v>
      </c>
      <c r="Q220" s="3">
        <f t="shared" si="11"/>
        <v>0.4793169099405758</v>
      </c>
      <c r="R220">
        <v>0</v>
      </c>
    </row>
    <row r="221" spans="1:18" x14ac:dyDescent="0.45">
      <c r="A221">
        <v>2014</v>
      </c>
      <c r="B221" t="s">
        <v>70</v>
      </c>
      <c r="C221">
        <v>12</v>
      </c>
      <c r="D221" t="s">
        <v>230</v>
      </c>
      <c r="E221" t="s">
        <v>21</v>
      </c>
      <c r="F221">
        <v>170.98</v>
      </c>
      <c r="G221">
        <v>15</v>
      </c>
      <c r="H221">
        <v>12</v>
      </c>
      <c r="I221">
        <v>55.6</v>
      </c>
      <c r="J221">
        <v>26.72</v>
      </c>
      <c r="K221">
        <v>28.88</v>
      </c>
      <c r="L221">
        <v>115.38</v>
      </c>
      <c r="M221">
        <v>56.96</v>
      </c>
      <c r="N221">
        <v>58.42</v>
      </c>
      <c r="O221">
        <f t="shared" si="9"/>
        <v>83.68</v>
      </c>
      <c r="P221">
        <f t="shared" si="10"/>
        <v>87.3</v>
      </c>
      <c r="Q221" s="3">
        <f t="shared" si="11"/>
        <v>0.48941396654579483</v>
      </c>
      <c r="R221">
        <v>0</v>
      </c>
    </row>
    <row r="222" spans="1:18" x14ac:dyDescent="0.45">
      <c r="A222">
        <v>2014</v>
      </c>
      <c r="B222" t="s">
        <v>70</v>
      </c>
      <c r="C222">
        <v>13</v>
      </c>
      <c r="D222" t="s">
        <v>178</v>
      </c>
      <c r="E222" t="s">
        <v>26</v>
      </c>
      <c r="F222">
        <v>168.98</v>
      </c>
      <c r="G222">
        <v>13</v>
      </c>
      <c r="H222">
        <v>13</v>
      </c>
      <c r="I222">
        <v>56.18</v>
      </c>
      <c r="J222">
        <v>27.51</v>
      </c>
      <c r="K222">
        <v>28.67</v>
      </c>
      <c r="L222">
        <v>112.8</v>
      </c>
      <c r="M222">
        <v>55.97</v>
      </c>
      <c r="N222">
        <v>57.83</v>
      </c>
      <c r="O222">
        <f t="shared" si="9"/>
        <v>83.48</v>
      </c>
      <c r="P222">
        <f t="shared" si="10"/>
        <v>86.5</v>
      </c>
      <c r="Q222" s="3">
        <f t="shared" si="11"/>
        <v>0.49111660195317092</v>
      </c>
      <c r="R222">
        <v>0</v>
      </c>
    </row>
    <row r="223" spans="1:18" x14ac:dyDescent="0.45">
      <c r="A223">
        <v>2014</v>
      </c>
      <c r="B223" t="s">
        <v>70</v>
      </c>
      <c r="C223">
        <v>14</v>
      </c>
      <c r="D223" t="s">
        <v>231</v>
      </c>
      <c r="E223" t="s">
        <v>46</v>
      </c>
      <c r="F223">
        <v>168.3</v>
      </c>
      <c r="G223">
        <v>11</v>
      </c>
      <c r="H223">
        <v>14</v>
      </c>
      <c r="I223">
        <v>57.55</v>
      </c>
      <c r="J223">
        <v>30.01</v>
      </c>
      <c r="K223">
        <v>27.54</v>
      </c>
      <c r="L223">
        <v>110.75</v>
      </c>
      <c r="M223">
        <v>55.79</v>
      </c>
      <c r="N223">
        <v>54.96</v>
      </c>
      <c r="O223">
        <f t="shared" si="9"/>
        <v>85.8</v>
      </c>
      <c r="P223">
        <f t="shared" si="10"/>
        <v>82.5</v>
      </c>
      <c r="Q223" s="3">
        <f t="shared" si="11"/>
        <v>0.50980392156862742</v>
      </c>
      <c r="R223">
        <v>0</v>
      </c>
    </row>
    <row r="224" spans="1:18" x14ac:dyDescent="0.45">
      <c r="A224">
        <v>2014</v>
      </c>
      <c r="B224" t="s">
        <v>70</v>
      </c>
      <c r="C224">
        <v>15</v>
      </c>
      <c r="D224" t="s">
        <v>232</v>
      </c>
      <c r="E224" t="s">
        <v>46</v>
      </c>
      <c r="F224">
        <v>154.21</v>
      </c>
      <c r="G224">
        <v>14</v>
      </c>
      <c r="H224">
        <v>15</v>
      </c>
      <c r="I224">
        <v>55.8</v>
      </c>
      <c r="J224">
        <v>32.68</v>
      </c>
      <c r="K224">
        <v>23.12</v>
      </c>
      <c r="L224">
        <v>98.41</v>
      </c>
      <c r="M224">
        <v>49.84</v>
      </c>
      <c r="N224">
        <v>48.57</v>
      </c>
      <c r="O224">
        <f t="shared" si="9"/>
        <v>82.52000000000001</v>
      </c>
      <c r="P224">
        <f t="shared" si="10"/>
        <v>71.69</v>
      </c>
      <c r="Q224" s="3">
        <f t="shared" si="11"/>
        <v>0.53511445431554383</v>
      </c>
      <c r="R224">
        <v>0</v>
      </c>
    </row>
    <row r="225" spans="1:18" x14ac:dyDescent="0.45">
      <c r="A225">
        <v>2014</v>
      </c>
      <c r="B225" t="s">
        <v>70</v>
      </c>
      <c r="C225">
        <v>16</v>
      </c>
      <c r="D225" t="s">
        <v>233</v>
      </c>
      <c r="E225" t="s">
        <v>24</v>
      </c>
      <c r="F225">
        <v>149.47999999999999</v>
      </c>
      <c r="G225">
        <v>18</v>
      </c>
      <c r="H225">
        <v>17</v>
      </c>
      <c r="I225">
        <v>54.37</v>
      </c>
      <c r="J225">
        <v>29.23</v>
      </c>
      <c r="K225">
        <v>25.14</v>
      </c>
      <c r="L225">
        <v>95.11</v>
      </c>
      <c r="M225">
        <v>45.25</v>
      </c>
      <c r="N225">
        <v>50.86</v>
      </c>
      <c r="O225">
        <f t="shared" si="9"/>
        <v>74.48</v>
      </c>
      <c r="P225">
        <f t="shared" si="10"/>
        <v>76</v>
      </c>
      <c r="Q225" s="3">
        <f t="shared" si="11"/>
        <v>0.49494949494949492</v>
      </c>
      <c r="R225">
        <v>0</v>
      </c>
    </row>
    <row r="226" spans="1:18" x14ac:dyDescent="0.45">
      <c r="A226">
        <v>2014</v>
      </c>
      <c r="B226" t="s">
        <v>70</v>
      </c>
      <c r="C226">
        <v>17</v>
      </c>
      <c r="D226" t="s">
        <v>188</v>
      </c>
      <c r="E226" t="s">
        <v>26</v>
      </c>
      <c r="F226">
        <v>148.44</v>
      </c>
      <c r="G226">
        <v>19</v>
      </c>
      <c r="H226">
        <v>16</v>
      </c>
      <c r="I226">
        <v>52.61</v>
      </c>
      <c r="J226">
        <v>28.07</v>
      </c>
      <c r="K226">
        <v>24.54</v>
      </c>
      <c r="L226">
        <v>95.83</v>
      </c>
      <c r="M226">
        <v>48.4</v>
      </c>
      <c r="N226">
        <v>47.43</v>
      </c>
      <c r="O226">
        <f t="shared" si="9"/>
        <v>76.47</v>
      </c>
      <c r="P226">
        <f t="shared" si="10"/>
        <v>71.97</v>
      </c>
      <c r="Q226" s="3">
        <f t="shared" si="11"/>
        <v>0.51515763945028292</v>
      </c>
      <c r="R226">
        <v>0</v>
      </c>
    </row>
    <row r="227" spans="1:18" x14ac:dyDescent="0.45">
      <c r="A227">
        <v>2014</v>
      </c>
      <c r="B227" t="s">
        <v>70</v>
      </c>
      <c r="C227">
        <v>18</v>
      </c>
      <c r="D227" t="s">
        <v>234</v>
      </c>
      <c r="E227" t="s">
        <v>140</v>
      </c>
      <c r="F227">
        <v>147.36000000000001</v>
      </c>
      <c r="G227">
        <v>10</v>
      </c>
      <c r="H227">
        <v>21</v>
      </c>
      <c r="I227">
        <v>57.63</v>
      </c>
      <c r="J227">
        <v>31.94</v>
      </c>
      <c r="K227">
        <v>25.69</v>
      </c>
      <c r="L227">
        <v>89.73</v>
      </c>
      <c r="M227">
        <v>38.47</v>
      </c>
      <c r="N227">
        <v>52.26</v>
      </c>
      <c r="O227">
        <f t="shared" si="9"/>
        <v>70.41</v>
      </c>
      <c r="P227">
        <f t="shared" si="10"/>
        <v>77.95</v>
      </c>
      <c r="Q227" s="3">
        <f t="shared" si="11"/>
        <v>0.47458883796171469</v>
      </c>
      <c r="R227">
        <v>0</v>
      </c>
    </row>
    <row r="228" spans="1:18" x14ac:dyDescent="0.45">
      <c r="A228">
        <v>2014</v>
      </c>
      <c r="B228" t="s">
        <v>70</v>
      </c>
      <c r="C228">
        <v>19</v>
      </c>
      <c r="D228" t="s">
        <v>235</v>
      </c>
      <c r="E228" t="s">
        <v>36</v>
      </c>
      <c r="F228">
        <v>147.15</v>
      </c>
      <c r="G228">
        <v>17</v>
      </c>
      <c r="H228">
        <v>20</v>
      </c>
      <c r="I228">
        <v>54.7</v>
      </c>
      <c r="J228">
        <v>27.51</v>
      </c>
      <c r="K228">
        <v>27.19</v>
      </c>
      <c r="L228">
        <v>92.45</v>
      </c>
      <c r="M228">
        <v>39.85</v>
      </c>
      <c r="N228">
        <v>53.6</v>
      </c>
      <c r="O228">
        <f t="shared" si="9"/>
        <v>67.36</v>
      </c>
      <c r="P228">
        <f t="shared" si="10"/>
        <v>80.790000000000006</v>
      </c>
      <c r="Q228" s="3">
        <f t="shared" si="11"/>
        <v>0.45467431657104285</v>
      </c>
      <c r="R228">
        <v>0</v>
      </c>
    </row>
    <row r="229" spans="1:18" x14ac:dyDescent="0.45">
      <c r="A229">
        <v>2014</v>
      </c>
      <c r="B229" t="s">
        <v>70</v>
      </c>
      <c r="C229">
        <v>20</v>
      </c>
      <c r="D229" t="s">
        <v>236</v>
      </c>
      <c r="E229" t="s">
        <v>118</v>
      </c>
      <c r="F229">
        <v>143.84</v>
      </c>
      <c r="G229">
        <v>22</v>
      </c>
      <c r="H229">
        <v>18</v>
      </c>
      <c r="I229">
        <v>49.32</v>
      </c>
      <c r="J229">
        <v>26.37</v>
      </c>
      <c r="K229">
        <v>22.95</v>
      </c>
      <c r="L229">
        <v>94.52</v>
      </c>
      <c r="M229">
        <v>48.71</v>
      </c>
      <c r="N229">
        <v>46.81</v>
      </c>
      <c r="O229">
        <f t="shared" si="9"/>
        <v>75.08</v>
      </c>
      <c r="P229">
        <f t="shared" si="10"/>
        <v>69.760000000000005</v>
      </c>
      <c r="Q229" s="3">
        <f t="shared" si="11"/>
        <v>0.51836509251587959</v>
      </c>
      <c r="R229">
        <v>0</v>
      </c>
    </row>
    <row r="230" spans="1:18" x14ac:dyDescent="0.45">
      <c r="A230">
        <v>2014</v>
      </c>
      <c r="B230" t="s">
        <v>70</v>
      </c>
      <c r="C230">
        <v>21</v>
      </c>
      <c r="D230" t="s">
        <v>237</v>
      </c>
      <c r="E230" t="s">
        <v>24</v>
      </c>
      <c r="F230">
        <v>142.97</v>
      </c>
      <c r="G230">
        <v>23</v>
      </c>
      <c r="H230">
        <v>19</v>
      </c>
      <c r="I230">
        <v>49.14</v>
      </c>
      <c r="J230">
        <v>25.35</v>
      </c>
      <c r="K230">
        <v>23.79</v>
      </c>
      <c r="L230">
        <v>93.83</v>
      </c>
      <c r="M230">
        <v>48.72</v>
      </c>
      <c r="N230">
        <v>46.11</v>
      </c>
      <c r="O230">
        <f t="shared" si="9"/>
        <v>74.069999999999993</v>
      </c>
      <c r="P230">
        <f t="shared" si="10"/>
        <v>69.900000000000006</v>
      </c>
      <c r="Q230" s="3">
        <f t="shared" si="11"/>
        <v>0.51448218378828914</v>
      </c>
      <c r="R230">
        <v>0</v>
      </c>
    </row>
    <row r="231" spans="1:18" x14ac:dyDescent="0.45">
      <c r="A231">
        <v>2014</v>
      </c>
      <c r="B231" t="s">
        <v>70</v>
      </c>
      <c r="C231">
        <v>22</v>
      </c>
      <c r="D231" t="s">
        <v>238</v>
      </c>
      <c r="E231" t="s">
        <v>125</v>
      </c>
      <c r="F231">
        <v>136.41999999999999</v>
      </c>
      <c r="G231">
        <v>20</v>
      </c>
      <c r="H231">
        <v>23</v>
      </c>
      <c r="I231">
        <v>51.87</v>
      </c>
      <c r="J231">
        <v>29.72</v>
      </c>
      <c r="K231">
        <v>22.15</v>
      </c>
      <c r="L231">
        <v>84.55</v>
      </c>
      <c r="M231">
        <v>42.94</v>
      </c>
      <c r="N231">
        <v>43.61</v>
      </c>
      <c r="O231">
        <f t="shared" si="9"/>
        <v>72.66</v>
      </c>
      <c r="P231">
        <f t="shared" si="10"/>
        <v>65.759999999999991</v>
      </c>
      <c r="Q231" s="3">
        <f t="shared" si="11"/>
        <v>0.52492414390983966</v>
      </c>
      <c r="R231">
        <v>0</v>
      </c>
    </row>
    <row r="232" spans="1:18" x14ac:dyDescent="0.45">
      <c r="A232">
        <v>2014</v>
      </c>
      <c r="B232" t="s">
        <v>70</v>
      </c>
      <c r="C232">
        <v>23</v>
      </c>
      <c r="D232" t="s">
        <v>239</v>
      </c>
      <c r="E232" t="s">
        <v>240</v>
      </c>
      <c r="F232">
        <v>134.54</v>
      </c>
      <c r="G232">
        <v>24</v>
      </c>
      <c r="H232">
        <v>22</v>
      </c>
      <c r="I232">
        <v>48.56</v>
      </c>
      <c r="J232">
        <v>26.13</v>
      </c>
      <c r="K232">
        <v>22.43</v>
      </c>
      <c r="L232">
        <v>85.98</v>
      </c>
      <c r="M232">
        <v>41.24</v>
      </c>
      <c r="N232">
        <v>44.74</v>
      </c>
      <c r="O232">
        <f t="shared" si="9"/>
        <v>67.37</v>
      </c>
      <c r="P232">
        <f t="shared" si="10"/>
        <v>67.17</v>
      </c>
      <c r="Q232" s="3">
        <f t="shared" si="11"/>
        <v>0.5007432733759476</v>
      </c>
      <c r="R232">
        <v>0</v>
      </c>
    </row>
    <row r="233" spans="1:18" x14ac:dyDescent="0.45">
      <c r="A233">
        <v>2014</v>
      </c>
      <c r="B233" t="s">
        <v>70</v>
      </c>
      <c r="C233">
        <v>24</v>
      </c>
      <c r="D233" t="s">
        <v>187</v>
      </c>
      <c r="E233" t="s">
        <v>59</v>
      </c>
      <c r="F233">
        <v>125</v>
      </c>
      <c r="G233">
        <v>21</v>
      </c>
      <c r="H233">
        <v>24</v>
      </c>
      <c r="I233">
        <v>49.8</v>
      </c>
      <c r="J233">
        <v>26.63</v>
      </c>
      <c r="K233">
        <v>23.17</v>
      </c>
      <c r="L233">
        <v>75.2</v>
      </c>
      <c r="M233">
        <v>30.39</v>
      </c>
      <c r="N233">
        <v>45.81</v>
      </c>
      <c r="O233">
        <f t="shared" si="9"/>
        <v>57.019999999999996</v>
      </c>
      <c r="P233">
        <f t="shared" si="10"/>
        <v>68.98</v>
      </c>
      <c r="Q233" s="3">
        <f t="shared" si="11"/>
        <v>0.45253968253968252</v>
      </c>
      <c r="R233">
        <v>0</v>
      </c>
    </row>
    <row r="234" spans="1:18" x14ac:dyDescent="0.45">
      <c r="A234">
        <v>2014</v>
      </c>
      <c r="B234" t="s">
        <v>70</v>
      </c>
      <c r="C234" t="s">
        <v>69</v>
      </c>
      <c r="D234" t="s">
        <v>241</v>
      </c>
      <c r="E234" t="s">
        <v>107</v>
      </c>
      <c r="F234">
        <v>0</v>
      </c>
      <c r="G234">
        <v>25</v>
      </c>
      <c r="H234">
        <v>0</v>
      </c>
      <c r="I234">
        <v>48.34</v>
      </c>
      <c r="J234">
        <v>25.34</v>
      </c>
      <c r="K234">
        <v>23</v>
      </c>
      <c r="L234">
        <v>0</v>
      </c>
      <c r="M234">
        <v>0</v>
      </c>
      <c r="N234">
        <v>0</v>
      </c>
      <c r="O234">
        <f t="shared" si="9"/>
        <v>25.34</v>
      </c>
      <c r="P234">
        <f t="shared" si="10"/>
        <v>23</v>
      </c>
      <c r="Q234" s="3">
        <f t="shared" si="11"/>
        <v>0.52420355812991304</v>
      </c>
      <c r="R234">
        <v>0</v>
      </c>
    </row>
    <row r="235" spans="1:18" x14ac:dyDescent="0.45">
      <c r="A235">
        <v>2014</v>
      </c>
      <c r="B235" t="s">
        <v>70</v>
      </c>
      <c r="C235" t="s">
        <v>69</v>
      </c>
      <c r="D235" t="s">
        <v>242</v>
      </c>
      <c r="E235" t="s">
        <v>92</v>
      </c>
      <c r="F235">
        <v>0</v>
      </c>
      <c r="G235">
        <v>26</v>
      </c>
      <c r="H235">
        <v>0</v>
      </c>
      <c r="I235">
        <v>48</v>
      </c>
      <c r="J235">
        <v>26.64</v>
      </c>
      <c r="K235">
        <v>21.36</v>
      </c>
      <c r="L235">
        <v>0</v>
      </c>
      <c r="M235">
        <v>0</v>
      </c>
      <c r="N235">
        <v>0</v>
      </c>
      <c r="O235">
        <f t="shared" si="9"/>
        <v>26.64</v>
      </c>
      <c r="P235">
        <f t="shared" si="10"/>
        <v>21.36</v>
      </c>
      <c r="Q235" s="3">
        <f t="shared" si="11"/>
        <v>0.55500000000000005</v>
      </c>
      <c r="R235">
        <v>0</v>
      </c>
    </row>
    <row r="236" spans="1:18" x14ac:dyDescent="0.45">
      <c r="A236">
        <v>2014</v>
      </c>
      <c r="B236" t="s">
        <v>70</v>
      </c>
      <c r="C236" t="s">
        <v>69</v>
      </c>
      <c r="D236" t="s">
        <v>243</v>
      </c>
      <c r="E236" t="s">
        <v>64</v>
      </c>
      <c r="F236">
        <v>0</v>
      </c>
      <c r="G236">
        <v>27</v>
      </c>
      <c r="H236">
        <v>0</v>
      </c>
      <c r="I236">
        <v>47.84</v>
      </c>
      <c r="J236">
        <v>21.83</v>
      </c>
      <c r="K236">
        <v>27.01</v>
      </c>
      <c r="L236">
        <v>0</v>
      </c>
      <c r="M236">
        <v>0</v>
      </c>
      <c r="N236">
        <v>0</v>
      </c>
      <c r="O236">
        <f t="shared" si="9"/>
        <v>21.83</v>
      </c>
      <c r="P236">
        <f t="shared" si="10"/>
        <v>27.01</v>
      </c>
      <c r="Q236" s="3">
        <f t="shared" si="11"/>
        <v>0.44696969696969691</v>
      </c>
      <c r="R236">
        <v>0</v>
      </c>
    </row>
    <row r="237" spans="1:18" x14ac:dyDescent="0.45">
      <c r="A237">
        <v>2014</v>
      </c>
      <c r="B237" t="s">
        <v>70</v>
      </c>
      <c r="C237" t="s">
        <v>69</v>
      </c>
      <c r="D237" t="s">
        <v>244</v>
      </c>
      <c r="E237" t="s">
        <v>50</v>
      </c>
      <c r="F237">
        <v>0</v>
      </c>
      <c r="G237">
        <v>28</v>
      </c>
      <c r="H237">
        <v>0</v>
      </c>
      <c r="I237">
        <v>47.42</v>
      </c>
      <c r="J237">
        <v>24.3</v>
      </c>
      <c r="K237">
        <v>23.12</v>
      </c>
      <c r="L237">
        <v>0</v>
      </c>
      <c r="M237">
        <v>0</v>
      </c>
      <c r="N237">
        <v>0</v>
      </c>
      <c r="O237">
        <f t="shared" si="9"/>
        <v>24.3</v>
      </c>
      <c r="P237">
        <f t="shared" si="10"/>
        <v>23.12</v>
      </c>
      <c r="Q237" s="3">
        <f t="shared" si="11"/>
        <v>0.51244200759173342</v>
      </c>
      <c r="R237">
        <v>0</v>
      </c>
    </row>
    <row r="238" spans="1:18" x14ac:dyDescent="0.45">
      <c r="A238">
        <v>2014</v>
      </c>
      <c r="B238" t="s">
        <v>70</v>
      </c>
      <c r="C238" t="s">
        <v>69</v>
      </c>
      <c r="D238" t="s">
        <v>245</v>
      </c>
      <c r="E238" t="s">
        <v>44</v>
      </c>
      <c r="F238">
        <v>0</v>
      </c>
      <c r="G238">
        <v>29</v>
      </c>
      <c r="H238">
        <v>0</v>
      </c>
      <c r="I238">
        <v>46.19</v>
      </c>
      <c r="J238">
        <v>22.59</v>
      </c>
      <c r="K238">
        <v>23.6</v>
      </c>
      <c r="L238">
        <v>0</v>
      </c>
      <c r="M238">
        <v>0</v>
      </c>
      <c r="N238">
        <v>0</v>
      </c>
      <c r="O238">
        <f t="shared" si="9"/>
        <v>22.59</v>
      </c>
      <c r="P238">
        <f t="shared" si="10"/>
        <v>23.6</v>
      </c>
      <c r="Q238" s="3">
        <f t="shared" si="11"/>
        <v>0.48906689759688249</v>
      </c>
      <c r="R238">
        <v>0</v>
      </c>
    </row>
    <row r="239" spans="1:18" x14ac:dyDescent="0.45">
      <c r="A239">
        <v>2014</v>
      </c>
      <c r="B239" t="s">
        <v>70</v>
      </c>
      <c r="C239" t="s">
        <v>69</v>
      </c>
      <c r="D239" t="s">
        <v>194</v>
      </c>
      <c r="E239" t="s">
        <v>195</v>
      </c>
      <c r="F239">
        <v>0</v>
      </c>
      <c r="G239">
        <v>30</v>
      </c>
      <c r="H239">
        <v>0</v>
      </c>
      <c r="I239">
        <v>40.369999999999997</v>
      </c>
      <c r="J239">
        <v>18.93</v>
      </c>
      <c r="K239">
        <v>21.44</v>
      </c>
      <c r="L239">
        <v>0</v>
      </c>
      <c r="M239">
        <v>0</v>
      </c>
      <c r="N239">
        <v>0</v>
      </c>
      <c r="O239">
        <f t="shared" si="9"/>
        <v>18.93</v>
      </c>
      <c r="P239">
        <f t="shared" si="10"/>
        <v>21.44</v>
      </c>
      <c r="Q239" s="3">
        <f t="shared" si="11"/>
        <v>0.4689125588308149</v>
      </c>
      <c r="R239">
        <v>0</v>
      </c>
    </row>
    <row r="240" spans="1:18" x14ac:dyDescent="0.45">
      <c r="A240">
        <v>2010</v>
      </c>
      <c r="B240" t="s">
        <v>17</v>
      </c>
      <c r="C240">
        <v>1</v>
      </c>
      <c r="D240" t="s">
        <v>246</v>
      </c>
      <c r="E240" t="s">
        <v>32</v>
      </c>
      <c r="F240">
        <v>257.67</v>
      </c>
      <c r="G240">
        <v>2</v>
      </c>
      <c r="H240">
        <v>1</v>
      </c>
      <c r="I240">
        <v>90.3</v>
      </c>
      <c r="J240">
        <v>48.3</v>
      </c>
      <c r="K240">
        <v>42</v>
      </c>
      <c r="L240">
        <v>167.37</v>
      </c>
      <c r="M240">
        <v>84.57</v>
      </c>
      <c r="N240">
        <v>82.8</v>
      </c>
      <c r="O240">
        <f t="shared" si="9"/>
        <v>132.87</v>
      </c>
      <c r="P240">
        <f t="shared" si="10"/>
        <v>124.8</v>
      </c>
      <c r="Q240" s="3">
        <f t="shared" si="11"/>
        <v>0.51565956455932005</v>
      </c>
      <c r="R240">
        <v>1</v>
      </c>
    </row>
    <row r="241" spans="1:18" x14ac:dyDescent="0.45">
      <c r="A241">
        <v>2010</v>
      </c>
      <c r="B241" t="s">
        <v>17</v>
      </c>
      <c r="C241">
        <v>2</v>
      </c>
      <c r="D241" t="s">
        <v>247</v>
      </c>
      <c r="E241" t="s">
        <v>220</v>
      </c>
      <c r="F241">
        <v>256.36</v>
      </c>
      <c r="G241">
        <v>1</v>
      </c>
      <c r="H241">
        <v>2</v>
      </c>
      <c r="I241">
        <v>90.85</v>
      </c>
      <c r="J241">
        <v>51.1</v>
      </c>
      <c r="K241">
        <v>39.75</v>
      </c>
      <c r="L241">
        <v>165.51</v>
      </c>
      <c r="M241">
        <v>82.71</v>
      </c>
      <c r="N241">
        <v>82.8</v>
      </c>
      <c r="O241">
        <f t="shared" si="9"/>
        <v>133.81</v>
      </c>
      <c r="P241">
        <f t="shared" si="10"/>
        <v>122.55</v>
      </c>
      <c r="Q241" s="3">
        <f t="shared" si="11"/>
        <v>0.52196130441566546</v>
      </c>
      <c r="R241">
        <v>2</v>
      </c>
    </row>
    <row r="242" spans="1:18" x14ac:dyDescent="0.45">
      <c r="A242">
        <v>2010</v>
      </c>
      <c r="B242" t="s">
        <v>17</v>
      </c>
      <c r="C242">
        <v>3</v>
      </c>
      <c r="D242" t="s">
        <v>203</v>
      </c>
      <c r="E242" t="s">
        <v>21</v>
      </c>
      <c r="F242">
        <v>247.23</v>
      </c>
      <c r="G242">
        <v>3</v>
      </c>
      <c r="H242">
        <v>5</v>
      </c>
      <c r="I242">
        <v>90.25</v>
      </c>
      <c r="J242">
        <v>48.9</v>
      </c>
      <c r="K242">
        <v>41.35</v>
      </c>
      <c r="L242">
        <v>156.97999999999999</v>
      </c>
      <c r="M242">
        <v>73.48</v>
      </c>
      <c r="N242">
        <v>84.5</v>
      </c>
      <c r="O242">
        <f t="shared" si="9"/>
        <v>122.38</v>
      </c>
      <c r="P242">
        <f t="shared" si="10"/>
        <v>125.85</v>
      </c>
      <c r="Q242" s="3">
        <f t="shared" si="11"/>
        <v>0.49301051444225114</v>
      </c>
      <c r="R242">
        <v>3</v>
      </c>
    </row>
    <row r="243" spans="1:18" x14ac:dyDescent="0.45">
      <c r="A243">
        <v>2010</v>
      </c>
      <c r="B243" t="s">
        <v>17</v>
      </c>
      <c r="C243">
        <v>4</v>
      </c>
      <c r="D243" t="s">
        <v>248</v>
      </c>
      <c r="E243" t="s">
        <v>41</v>
      </c>
      <c r="F243">
        <v>246.72</v>
      </c>
      <c r="G243">
        <v>5</v>
      </c>
      <c r="H243">
        <v>3</v>
      </c>
      <c r="I243">
        <v>84.63</v>
      </c>
      <c r="J243">
        <v>41.48</v>
      </c>
      <c r="K243">
        <v>43.15</v>
      </c>
      <c r="L243">
        <v>162.09</v>
      </c>
      <c r="M243">
        <v>78.489999999999995</v>
      </c>
      <c r="N243">
        <v>83.6</v>
      </c>
      <c r="O243">
        <f t="shared" si="9"/>
        <v>119.97</v>
      </c>
      <c r="P243">
        <f t="shared" si="10"/>
        <v>126.75</v>
      </c>
      <c r="Q243" s="3">
        <f t="shared" si="11"/>
        <v>0.48625972762645914</v>
      </c>
      <c r="R243">
        <v>0</v>
      </c>
    </row>
    <row r="244" spans="1:18" x14ac:dyDescent="0.45">
      <c r="A244">
        <v>2010</v>
      </c>
      <c r="B244" t="s">
        <v>17</v>
      </c>
      <c r="C244">
        <v>5</v>
      </c>
      <c r="D244" t="s">
        <v>159</v>
      </c>
      <c r="E244" t="s">
        <v>26</v>
      </c>
      <c r="F244">
        <v>241.42</v>
      </c>
      <c r="G244">
        <v>7</v>
      </c>
      <c r="H244">
        <v>4</v>
      </c>
      <c r="I244">
        <v>81.12</v>
      </c>
      <c r="J244">
        <v>41.42</v>
      </c>
      <c r="K244">
        <v>40.700000000000003</v>
      </c>
      <c r="L244">
        <v>160.30000000000001</v>
      </c>
      <c r="M244">
        <v>79.3</v>
      </c>
      <c r="N244">
        <v>82</v>
      </c>
      <c r="O244">
        <f t="shared" si="9"/>
        <v>120.72</v>
      </c>
      <c r="P244">
        <f t="shared" si="10"/>
        <v>122.7</v>
      </c>
      <c r="Q244" s="3">
        <f t="shared" si="11"/>
        <v>0.49593295538575299</v>
      </c>
      <c r="R244">
        <v>0</v>
      </c>
    </row>
    <row r="245" spans="1:18" x14ac:dyDescent="0.45">
      <c r="A245">
        <v>2010</v>
      </c>
      <c r="B245" t="s">
        <v>17</v>
      </c>
      <c r="C245">
        <v>6</v>
      </c>
      <c r="D245" t="s">
        <v>249</v>
      </c>
      <c r="E245" t="s">
        <v>32</v>
      </c>
      <c r="F245">
        <v>238.87</v>
      </c>
      <c r="G245">
        <v>6</v>
      </c>
      <c r="H245">
        <v>6</v>
      </c>
      <c r="I245">
        <v>82.1</v>
      </c>
      <c r="J245">
        <v>42.9</v>
      </c>
      <c r="K245">
        <v>39.200000000000003</v>
      </c>
      <c r="L245">
        <v>156.77000000000001</v>
      </c>
      <c r="M245">
        <v>79.67</v>
      </c>
      <c r="N245">
        <v>77.099999999999994</v>
      </c>
      <c r="O245">
        <f t="shared" si="9"/>
        <v>122.57</v>
      </c>
      <c r="P245">
        <f t="shared" si="10"/>
        <v>116.3</v>
      </c>
      <c r="Q245" s="3">
        <f t="shared" si="11"/>
        <v>0.51312429354879219</v>
      </c>
      <c r="R245">
        <v>0</v>
      </c>
    </row>
    <row r="246" spans="1:18" x14ac:dyDescent="0.45">
      <c r="A246">
        <v>2010</v>
      </c>
      <c r="B246" t="s">
        <v>17</v>
      </c>
      <c r="C246">
        <v>7</v>
      </c>
      <c r="D246" t="s">
        <v>250</v>
      </c>
      <c r="E246" t="s">
        <v>21</v>
      </c>
      <c r="F246">
        <v>238.54</v>
      </c>
      <c r="G246">
        <v>4</v>
      </c>
      <c r="H246">
        <v>7</v>
      </c>
      <c r="I246">
        <v>84.85</v>
      </c>
      <c r="J246">
        <v>46</v>
      </c>
      <c r="K246">
        <v>38.85</v>
      </c>
      <c r="L246">
        <v>153.69</v>
      </c>
      <c r="M246">
        <v>79.69</v>
      </c>
      <c r="N246">
        <v>77</v>
      </c>
      <c r="O246">
        <f t="shared" si="9"/>
        <v>125.69</v>
      </c>
      <c r="P246">
        <f t="shared" si="10"/>
        <v>115.85</v>
      </c>
      <c r="Q246" s="3">
        <f t="shared" si="11"/>
        <v>0.52036929701084711</v>
      </c>
      <c r="R246">
        <v>0</v>
      </c>
    </row>
    <row r="247" spans="1:18" x14ac:dyDescent="0.45">
      <c r="A247">
        <v>2010</v>
      </c>
      <c r="B247" t="s">
        <v>17</v>
      </c>
      <c r="C247">
        <v>8</v>
      </c>
      <c r="D247" t="s">
        <v>251</v>
      </c>
      <c r="E247" t="s">
        <v>21</v>
      </c>
      <c r="F247">
        <v>231.19</v>
      </c>
      <c r="G247">
        <v>8</v>
      </c>
      <c r="H247">
        <v>8</v>
      </c>
      <c r="I247">
        <v>79.59</v>
      </c>
      <c r="J247">
        <v>42.14</v>
      </c>
      <c r="K247">
        <v>37.450000000000003</v>
      </c>
      <c r="L247">
        <v>151.6</v>
      </c>
      <c r="M247">
        <v>78.400000000000006</v>
      </c>
      <c r="N247">
        <v>74.2</v>
      </c>
      <c r="O247">
        <f t="shared" si="9"/>
        <v>120.54</v>
      </c>
      <c r="P247">
        <f t="shared" si="10"/>
        <v>111.65</v>
      </c>
      <c r="Q247" s="3">
        <f t="shared" si="11"/>
        <v>0.51914380464274945</v>
      </c>
      <c r="R247">
        <v>0</v>
      </c>
    </row>
    <row r="248" spans="1:18" x14ac:dyDescent="0.45">
      <c r="A248">
        <v>2010</v>
      </c>
      <c r="B248" t="s">
        <v>17</v>
      </c>
      <c r="C248">
        <v>9</v>
      </c>
      <c r="D248" t="s">
        <v>206</v>
      </c>
      <c r="E248" t="s">
        <v>32</v>
      </c>
      <c r="F248">
        <v>218.96</v>
      </c>
      <c r="G248">
        <v>15</v>
      </c>
      <c r="H248">
        <v>9</v>
      </c>
      <c r="I248">
        <v>69.400000000000006</v>
      </c>
      <c r="J248">
        <v>30.7</v>
      </c>
      <c r="K248">
        <v>38.700000000000003</v>
      </c>
      <c r="L248">
        <v>149.56</v>
      </c>
      <c r="M248">
        <v>71.56</v>
      </c>
      <c r="N248">
        <v>79</v>
      </c>
      <c r="O248">
        <f t="shared" si="9"/>
        <v>102.26</v>
      </c>
      <c r="P248">
        <f t="shared" si="10"/>
        <v>117.7</v>
      </c>
      <c r="Q248" s="3">
        <f t="shared" si="11"/>
        <v>0.46490270958356067</v>
      </c>
      <c r="R248">
        <v>0</v>
      </c>
    </row>
    <row r="249" spans="1:18" x14ac:dyDescent="0.45">
      <c r="A249">
        <v>2010</v>
      </c>
      <c r="B249" t="s">
        <v>17</v>
      </c>
      <c r="C249">
        <v>10</v>
      </c>
      <c r="D249" t="s">
        <v>124</v>
      </c>
      <c r="E249" t="s">
        <v>125</v>
      </c>
      <c r="F249">
        <v>216.73</v>
      </c>
      <c r="G249">
        <v>9</v>
      </c>
      <c r="H249">
        <v>11</v>
      </c>
      <c r="I249">
        <v>78.8</v>
      </c>
      <c r="J249">
        <v>42.5</v>
      </c>
      <c r="K249">
        <v>36.299999999999997</v>
      </c>
      <c r="L249">
        <v>137.93</v>
      </c>
      <c r="M249">
        <v>67.430000000000007</v>
      </c>
      <c r="N249">
        <v>71.5</v>
      </c>
      <c r="O249">
        <f t="shared" si="9"/>
        <v>109.93</v>
      </c>
      <c r="P249">
        <f t="shared" si="10"/>
        <v>107.8</v>
      </c>
      <c r="Q249" s="3">
        <f t="shared" si="11"/>
        <v>0.5048913792311579</v>
      </c>
      <c r="R249">
        <v>0</v>
      </c>
    </row>
    <row r="250" spans="1:18" x14ac:dyDescent="0.45">
      <c r="A250">
        <v>2010</v>
      </c>
      <c r="B250" t="s">
        <v>17</v>
      </c>
      <c r="C250">
        <v>11</v>
      </c>
      <c r="D250" t="s">
        <v>171</v>
      </c>
      <c r="E250" t="s">
        <v>19</v>
      </c>
      <c r="F250">
        <v>211.25</v>
      </c>
      <c r="G250">
        <v>10</v>
      </c>
      <c r="H250">
        <v>14</v>
      </c>
      <c r="I250">
        <v>76.239999999999995</v>
      </c>
      <c r="J250">
        <v>41.24</v>
      </c>
      <c r="K250">
        <v>35</v>
      </c>
      <c r="L250">
        <v>135.01</v>
      </c>
      <c r="M250">
        <v>67.61</v>
      </c>
      <c r="N250">
        <v>67.400000000000006</v>
      </c>
      <c r="O250">
        <f t="shared" si="9"/>
        <v>108.85</v>
      </c>
      <c r="P250">
        <f t="shared" si="10"/>
        <v>102.4</v>
      </c>
      <c r="Q250" s="3">
        <f t="shared" si="11"/>
        <v>0.51526627218934906</v>
      </c>
      <c r="R250">
        <v>0</v>
      </c>
    </row>
    <row r="251" spans="1:18" x14ac:dyDescent="0.45">
      <c r="A251">
        <v>2010</v>
      </c>
      <c r="B251" t="s">
        <v>17</v>
      </c>
      <c r="C251">
        <v>12</v>
      </c>
      <c r="D251" t="s">
        <v>210</v>
      </c>
      <c r="E251" t="s">
        <v>30</v>
      </c>
      <c r="F251">
        <v>210.3</v>
      </c>
      <c r="G251">
        <v>11</v>
      </c>
      <c r="H251">
        <v>15</v>
      </c>
      <c r="I251">
        <v>75.349999999999994</v>
      </c>
      <c r="J251">
        <v>41.9</v>
      </c>
      <c r="K251">
        <v>33.450000000000003</v>
      </c>
      <c r="L251">
        <v>134.94999999999999</v>
      </c>
      <c r="M251">
        <v>63.25</v>
      </c>
      <c r="N251">
        <v>71.7</v>
      </c>
      <c r="O251">
        <f t="shared" si="9"/>
        <v>105.15</v>
      </c>
      <c r="P251">
        <f t="shared" si="10"/>
        <v>105.15</v>
      </c>
      <c r="Q251" s="3">
        <f t="shared" si="11"/>
        <v>0.5</v>
      </c>
      <c r="R251">
        <v>0</v>
      </c>
    </row>
    <row r="252" spans="1:18" x14ac:dyDescent="0.45">
      <c r="A252">
        <v>2010</v>
      </c>
      <c r="B252" t="s">
        <v>17</v>
      </c>
      <c r="C252">
        <v>13</v>
      </c>
      <c r="D252" t="s">
        <v>252</v>
      </c>
      <c r="E252" t="s">
        <v>220</v>
      </c>
      <c r="F252">
        <v>210.16</v>
      </c>
      <c r="G252">
        <v>13</v>
      </c>
      <c r="H252">
        <v>12</v>
      </c>
      <c r="I252">
        <v>72.239999999999995</v>
      </c>
      <c r="J252">
        <v>39.94</v>
      </c>
      <c r="K252">
        <v>32.299999999999997</v>
      </c>
      <c r="L252">
        <v>137.91999999999999</v>
      </c>
      <c r="M252">
        <v>72.62</v>
      </c>
      <c r="N252">
        <v>65.3</v>
      </c>
      <c r="O252">
        <f t="shared" si="9"/>
        <v>112.56</v>
      </c>
      <c r="P252">
        <f t="shared" si="10"/>
        <v>97.6</v>
      </c>
      <c r="Q252" s="3">
        <f t="shared" si="11"/>
        <v>0.53559192995812721</v>
      </c>
      <c r="R252">
        <v>0</v>
      </c>
    </row>
    <row r="253" spans="1:18" x14ac:dyDescent="0.45">
      <c r="A253">
        <v>2010</v>
      </c>
      <c r="B253" t="s">
        <v>17</v>
      </c>
      <c r="C253">
        <v>14</v>
      </c>
      <c r="D253" t="s">
        <v>155</v>
      </c>
      <c r="E253" t="s">
        <v>61</v>
      </c>
      <c r="F253">
        <v>206.68</v>
      </c>
      <c r="G253">
        <v>16</v>
      </c>
      <c r="H253">
        <v>10</v>
      </c>
      <c r="I253">
        <v>68.69</v>
      </c>
      <c r="J253">
        <v>37.64</v>
      </c>
      <c r="K253">
        <v>31.05</v>
      </c>
      <c r="L253">
        <v>137.99</v>
      </c>
      <c r="M253">
        <v>68.19</v>
      </c>
      <c r="N253">
        <v>70.8</v>
      </c>
      <c r="O253">
        <f t="shared" si="9"/>
        <v>105.83</v>
      </c>
      <c r="P253">
        <f t="shared" si="10"/>
        <v>101.85</v>
      </c>
      <c r="Q253" s="3">
        <f t="shared" si="11"/>
        <v>0.50958204930662554</v>
      </c>
      <c r="R253">
        <v>0</v>
      </c>
    </row>
    <row r="254" spans="1:18" x14ac:dyDescent="0.45">
      <c r="A254">
        <v>2010</v>
      </c>
      <c r="B254" t="s">
        <v>17</v>
      </c>
      <c r="C254">
        <v>15</v>
      </c>
      <c r="D254" t="s">
        <v>253</v>
      </c>
      <c r="E254" t="s">
        <v>64</v>
      </c>
      <c r="F254">
        <v>200.44</v>
      </c>
      <c r="G254">
        <v>22</v>
      </c>
      <c r="H254">
        <v>13</v>
      </c>
      <c r="I254">
        <v>63.13</v>
      </c>
      <c r="J254">
        <v>32.78</v>
      </c>
      <c r="K254">
        <v>30.35</v>
      </c>
      <c r="L254">
        <v>137.31</v>
      </c>
      <c r="M254">
        <v>74.010000000000005</v>
      </c>
      <c r="N254">
        <v>63.3</v>
      </c>
      <c r="O254">
        <f t="shared" si="9"/>
        <v>106.79</v>
      </c>
      <c r="P254">
        <f t="shared" si="10"/>
        <v>93.65</v>
      </c>
      <c r="Q254" s="3">
        <f t="shared" si="11"/>
        <v>0.5327778886449811</v>
      </c>
      <c r="R254">
        <v>0</v>
      </c>
    </row>
    <row r="255" spans="1:18" x14ac:dyDescent="0.45">
      <c r="A255">
        <v>2010</v>
      </c>
      <c r="B255" t="s">
        <v>17</v>
      </c>
      <c r="C255">
        <v>16</v>
      </c>
      <c r="D255" t="s">
        <v>207</v>
      </c>
      <c r="E255" t="s">
        <v>30</v>
      </c>
      <c r="F255">
        <v>200.22</v>
      </c>
      <c r="G255">
        <v>18</v>
      </c>
      <c r="H255">
        <v>16</v>
      </c>
      <c r="I255">
        <v>68</v>
      </c>
      <c r="J255">
        <v>31.9</v>
      </c>
      <c r="K255">
        <v>37.1</v>
      </c>
      <c r="L255">
        <v>132.22</v>
      </c>
      <c r="M255">
        <v>59.12</v>
      </c>
      <c r="N255">
        <v>74.099999999999994</v>
      </c>
      <c r="O255">
        <f t="shared" si="9"/>
        <v>91.02</v>
      </c>
      <c r="P255">
        <f t="shared" si="10"/>
        <v>111.19999999999999</v>
      </c>
      <c r="Q255" s="3">
        <f t="shared" si="11"/>
        <v>0.45010384729502528</v>
      </c>
      <c r="R255">
        <v>0</v>
      </c>
    </row>
    <row r="256" spans="1:18" x14ac:dyDescent="0.45">
      <c r="A256">
        <v>2010</v>
      </c>
      <c r="B256" t="s">
        <v>17</v>
      </c>
      <c r="C256">
        <v>17</v>
      </c>
      <c r="D256" t="s">
        <v>254</v>
      </c>
      <c r="E256" t="s">
        <v>84</v>
      </c>
      <c r="F256">
        <v>189.84</v>
      </c>
      <c r="G256">
        <v>12</v>
      </c>
      <c r="H256">
        <v>18</v>
      </c>
      <c r="I256">
        <v>72.900000000000006</v>
      </c>
      <c r="J256">
        <v>39.200000000000003</v>
      </c>
      <c r="K256">
        <v>33.700000000000003</v>
      </c>
      <c r="L256">
        <v>116.94</v>
      </c>
      <c r="M256">
        <v>54.04</v>
      </c>
      <c r="N256">
        <v>62.9</v>
      </c>
      <c r="O256">
        <f t="shared" si="9"/>
        <v>93.240000000000009</v>
      </c>
      <c r="P256">
        <f t="shared" si="10"/>
        <v>96.6</v>
      </c>
      <c r="Q256" s="3">
        <f t="shared" si="11"/>
        <v>0.49115044247787615</v>
      </c>
      <c r="R256">
        <v>0</v>
      </c>
    </row>
    <row r="257" spans="1:18" x14ac:dyDescent="0.45">
      <c r="A257">
        <v>2010</v>
      </c>
      <c r="B257" t="s">
        <v>17</v>
      </c>
      <c r="C257">
        <v>18</v>
      </c>
      <c r="D257" t="s">
        <v>255</v>
      </c>
      <c r="E257" t="s">
        <v>34</v>
      </c>
      <c r="F257">
        <v>187.5</v>
      </c>
      <c r="G257">
        <v>14</v>
      </c>
      <c r="H257">
        <v>19</v>
      </c>
      <c r="I257">
        <v>70.599999999999994</v>
      </c>
      <c r="J257">
        <v>36.6</v>
      </c>
      <c r="K257">
        <v>35</v>
      </c>
      <c r="L257">
        <v>116.9</v>
      </c>
      <c r="M257">
        <v>50.2</v>
      </c>
      <c r="N257">
        <v>66.7</v>
      </c>
      <c r="O257">
        <f t="shared" si="9"/>
        <v>86.800000000000011</v>
      </c>
      <c r="P257">
        <f t="shared" si="10"/>
        <v>101.7</v>
      </c>
      <c r="Q257" s="3">
        <f t="shared" si="11"/>
        <v>0.46047745358090192</v>
      </c>
      <c r="R257">
        <v>0</v>
      </c>
    </row>
    <row r="258" spans="1:18" x14ac:dyDescent="0.45">
      <c r="A258">
        <v>2010</v>
      </c>
      <c r="B258" t="s">
        <v>17</v>
      </c>
      <c r="C258">
        <v>19</v>
      </c>
      <c r="D258" t="s">
        <v>205</v>
      </c>
      <c r="E258" t="s">
        <v>125</v>
      </c>
      <c r="F258">
        <v>184.74</v>
      </c>
      <c r="G258">
        <v>19</v>
      </c>
      <c r="H258">
        <v>17</v>
      </c>
      <c r="I258">
        <v>65.319999999999993</v>
      </c>
      <c r="J258">
        <v>30.02</v>
      </c>
      <c r="K258">
        <v>36.299999999999997</v>
      </c>
      <c r="L258">
        <v>119.42</v>
      </c>
      <c r="M258">
        <v>52.62</v>
      </c>
      <c r="N258">
        <v>67.8</v>
      </c>
      <c r="O258">
        <f t="shared" si="9"/>
        <v>82.64</v>
      </c>
      <c r="P258">
        <f t="shared" si="10"/>
        <v>104.1</v>
      </c>
      <c r="Q258" s="3">
        <f t="shared" si="11"/>
        <v>0.44254043054514297</v>
      </c>
      <c r="R258">
        <v>0</v>
      </c>
    </row>
    <row r="259" spans="1:18" x14ac:dyDescent="0.45">
      <c r="A259">
        <v>2010</v>
      </c>
      <c r="B259" t="s">
        <v>17</v>
      </c>
      <c r="C259">
        <v>20</v>
      </c>
      <c r="D259" t="s">
        <v>256</v>
      </c>
      <c r="E259" t="s">
        <v>34</v>
      </c>
      <c r="F259">
        <v>177.21</v>
      </c>
      <c r="G259">
        <v>20</v>
      </c>
      <c r="H259">
        <v>22</v>
      </c>
      <c r="I259">
        <v>64.42</v>
      </c>
      <c r="J259">
        <v>34.82</v>
      </c>
      <c r="K259">
        <v>29.6</v>
      </c>
      <c r="L259">
        <v>112.79</v>
      </c>
      <c r="M259">
        <v>55.19</v>
      </c>
      <c r="N259">
        <v>57.6</v>
      </c>
      <c r="O259">
        <f t="shared" ref="O259:O322" si="12">J259+M259</f>
        <v>90.009999999999991</v>
      </c>
      <c r="P259">
        <f t="shared" ref="P259:P322" si="13">K259+N259</f>
        <v>87.2</v>
      </c>
      <c r="Q259" s="3">
        <f t="shared" ref="Q259:Q322" si="14">IF(O259+P259=0,"",O259/(O259+P259))</f>
        <v>0.50792844647593249</v>
      </c>
      <c r="R259">
        <v>0</v>
      </c>
    </row>
    <row r="260" spans="1:18" x14ac:dyDescent="0.45">
      <c r="A260">
        <v>2010</v>
      </c>
      <c r="B260" t="s">
        <v>17</v>
      </c>
      <c r="C260">
        <v>21</v>
      </c>
      <c r="D260" t="s">
        <v>216</v>
      </c>
      <c r="E260" t="s">
        <v>92</v>
      </c>
      <c r="F260">
        <v>175.93</v>
      </c>
      <c r="G260">
        <v>23</v>
      </c>
      <c r="H260">
        <v>20</v>
      </c>
      <c r="I260">
        <v>60.88</v>
      </c>
      <c r="J260">
        <v>34.08</v>
      </c>
      <c r="K260">
        <v>26.8</v>
      </c>
      <c r="L260">
        <v>115.05</v>
      </c>
      <c r="M260">
        <v>61.25</v>
      </c>
      <c r="N260">
        <v>54.8</v>
      </c>
      <c r="O260">
        <f t="shared" si="12"/>
        <v>95.33</v>
      </c>
      <c r="P260">
        <f t="shared" si="13"/>
        <v>81.599999999999994</v>
      </c>
      <c r="Q260" s="3">
        <f t="shared" si="14"/>
        <v>0.53880065562651891</v>
      </c>
      <c r="R260">
        <v>0</v>
      </c>
    </row>
    <row r="261" spans="1:18" x14ac:dyDescent="0.45">
      <c r="A261">
        <v>2010</v>
      </c>
      <c r="B261" t="s">
        <v>17</v>
      </c>
      <c r="C261">
        <v>22</v>
      </c>
      <c r="D261" t="s">
        <v>257</v>
      </c>
      <c r="E261" t="s">
        <v>140</v>
      </c>
      <c r="F261">
        <v>171.98</v>
      </c>
      <c r="G261">
        <v>17</v>
      </c>
      <c r="H261">
        <v>23</v>
      </c>
      <c r="I261">
        <v>68.5</v>
      </c>
      <c r="J261">
        <v>37.700000000000003</v>
      </c>
      <c r="K261">
        <v>30.8</v>
      </c>
      <c r="L261">
        <v>103.48</v>
      </c>
      <c r="M261">
        <v>46.68</v>
      </c>
      <c r="N261">
        <v>56.8</v>
      </c>
      <c r="O261">
        <f t="shared" si="12"/>
        <v>84.38</v>
      </c>
      <c r="P261">
        <f t="shared" si="13"/>
        <v>87.6</v>
      </c>
      <c r="Q261" s="3">
        <f t="shared" si="14"/>
        <v>0.4906384463309687</v>
      </c>
      <c r="R261">
        <v>0</v>
      </c>
    </row>
    <row r="262" spans="1:18" x14ac:dyDescent="0.45">
      <c r="A262">
        <v>2010</v>
      </c>
      <c r="B262" t="s">
        <v>17</v>
      </c>
      <c r="C262">
        <v>23</v>
      </c>
      <c r="D262" t="s">
        <v>258</v>
      </c>
      <c r="E262" t="s">
        <v>26</v>
      </c>
      <c r="F262">
        <v>170.92</v>
      </c>
      <c r="G262">
        <v>24</v>
      </c>
      <c r="H262">
        <v>21</v>
      </c>
      <c r="I262">
        <v>57.22</v>
      </c>
      <c r="J262">
        <v>30.22</v>
      </c>
      <c r="K262">
        <v>27</v>
      </c>
      <c r="L262">
        <v>113.7</v>
      </c>
      <c r="M262">
        <v>55.1</v>
      </c>
      <c r="N262">
        <v>58.6</v>
      </c>
      <c r="O262">
        <f t="shared" si="12"/>
        <v>85.32</v>
      </c>
      <c r="P262">
        <f t="shared" si="13"/>
        <v>85.6</v>
      </c>
      <c r="Q262" s="3">
        <f t="shared" si="14"/>
        <v>0.49918090334659487</v>
      </c>
      <c r="R262">
        <v>0</v>
      </c>
    </row>
    <row r="263" spans="1:18" x14ac:dyDescent="0.45">
      <c r="A263">
        <v>2010</v>
      </c>
      <c r="B263" t="s">
        <v>17</v>
      </c>
      <c r="C263">
        <v>24</v>
      </c>
      <c r="D263" t="s">
        <v>259</v>
      </c>
      <c r="E263" t="s">
        <v>50</v>
      </c>
      <c r="F263">
        <v>165.9</v>
      </c>
      <c r="G263">
        <v>21</v>
      </c>
      <c r="H263">
        <v>24</v>
      </c>
      <c r="I263">
        <v>63.81</v>
      </c>
      <c r="J263">
        <v>36.659999999999997</v>
      </c>
      <c r="K263">
        <v>27.15</v>
      </c>
      <c r="L263">
        <v>102.09</v>
      </c>
      <c r="M263">
        <v>49.99</v>
      </c>
      <c r="N263">
        <v>55.1</v>
      </c>
      <c r="O263">
        <f t="shared" si="12"/>
        <v>86.65</v>
      </c>
      <c r="P263">
        <f t="shared" si="13"/>
        <v>82.25</v>
      </c>
      <c r="Q263" s="3">
        <f t="shared" si="14"/>
        <v>0.51302545885139139</v>
      </c>
      <c r="R263">
        <v>0</v>
      </c>
    </row>
    <row r="264" spans="1:18" x14ac:dyDescent="0.45">
      <c r="A264">
        <v>2010</v>
      </c>
      <c r="B264" t="s">
        <v>17</v>
      </c>
      <c r="C264" t="s">
        <v>69</v>
      </c>
      <c r="D264" t="s">
        <v>260</v>
      </c>
      <c r="E264" t="s">
        <v>261</v>
      </c>
      <c r="F264">
        <v>0</v>
      </c>
      <c r="G264">
        <v>25</v>
      </c>
      <c r="H264">
        <v>0</v>
      </c>
      <c r="I264">
        <v>56.6</v>
      </c>
      <c r="J264">
        <v>33.4</v>
      </c>
      <c r="K264">
        <v>23.2</v>
      </c>
      <c r="L264">
        <v>0</v>
      </c>
      <c r="M264">
        <v>0</v>
      </c>
      <c r="N264">
        <v>0</v>
      </c>
      <c r="O264">
        <f t="shared" si="12"/>
        <v>33.4</v>
      </c>
      <c r="P264">
        <f t="shared" si="13"/>
        <v>23.2</v>
      </c>
      <c r="Q264" s="3">
        <f t="shared" si="14"/>
        <v>0.59010600706713789</v>
      </c>
      <c r="R264">
        <v>0</v>
      </c>
    </row>
    <row r="265" spans="1:18" x14ac:dyDescent="0.45">
      <c r="A265">
        <v>2010</v>
      </c>
      <c r="B265" t="s">
        <v>17</v>
      </c>
      <c r="C265" t="s">
        <v>69</v>
      </c>
      <c r="D265" t="s">
        <v>212</v>
      </c>
      <c r="E265" t="s">
        <v>19</v>
      </c>
      <c r="F265">
        <v>0</v>
      </c>
      <c r="G265">
        <v>26</v>
      </c>
      <c r="H265">
        <v>0</v>
      </c>
      <c r="I265">
        <v>55.88</v>
      </c>
      <c r="J265">
        <v>32.479999999999997</v>
      </c>
      <c r="K265">
        <v>23.4</v>
      </c>
      <c r="L265">
        <v>0</v>
      </c>
      <c r="M265">
        <v>0</v>
      </c>
      <c r="N265">
        <v>0</v>
      </c>
      <c r="O265">
        <f t="shared" si="12"/>
        <v>32.479999999999997</v>
      </c>
      <c r="P265">
        <f t="shared" si="13"/>
        <v>23.4</v>
      </c>
      <c r="Q265" s="3">
        <f t="shared" si="14"/>
        <v>0.58124552612741587</v>
      </c>
      <c r="R265">
        <v>0</v>
      </c>
    </row>
    <row r="266" spans="1:18" x14ac:dyDescent="0.45">
      <c r="A266">
        <v>2010</v>
      </c>
      <c r="B266" t="s">
        <v>17</v>
      </c>
      <c r="C266" t="s">
        <v>69</v>
      </c>
      <c r="D266" t="s">
        <v>262</v>
      </c>
      <c r="E266" t="s">
        <v>263</v>
      </c>
      <c r="F266">
        <v>0</v>
      </c>
      <c r="G266">
        <v>27</v>
      </c>
      <c r="H266">
        <v>0</v>
      </c>
      <c r="I266">
        <v>53.02</v>
      </c>
      <c r="J266">
        <v>28.92</v>
      </c>
      <c r="K266">
        <v>24.1</v>
      </c>
      <c r="L266">
        <v>0</v>
      </c>
      <c r="M266">
        <v>0</v>
      </c>
      <c r="N266">
        <v>0</v>
      </c>
      <c r="O266">
        <f t="shared" si="12"/>
        <v>28.92</v>
      </c>
      <c r="P266">
        <f t="shared" si="13"/>
        <v>24.1</v>
      </c>
      <c r="Q266" s="3">
        <f t="shared" si="14"/>
        <v>0.54545454545454541</v>
      </c>
      <c r="R266">
        <v>0</v>
      </c>
    </row>
    <row r="267" spans="1:18" x14ac:dyDescent="0.45">
      <c r="A267">
        <v>2010</v>
      </c>
      <c r="B267" t="s">
        <v>17</v>
      </c>
      <c r="C267" t="s">
        <v>69</v>
      </c>
      <c r="D267" t="s">
        <v>264</v>
      </c>
      <c r="E267" t="s">
        <v>53</v>
      </c>
      <c r="F267">
        <v>0</v>
      </c>
      <c r="G267">
        <v>28</v>
      </c>
      <c r="H267">
        <v>0</v>
      </c>
      <c r="I267">
        <v>52.14</v>
      </c>
      <c r="J267">
        <v>28.44</v>
      </c>
      <c r="K267">
        <v>23.7</v>
      </c>
      <c r="L267">
        <v>0</v>
      </c>
      <c r="M267">
        <v>0</v>
      </c>
      <c r="N267">
        <v>0</v>
      </c>
      <c r="O267">
        <f t="shared" si="12"/>
        <v>28.44</v>
      </c>
      <c r="P267">
        <f t="shared" si="13"/>
        <v>23.7</v>
      </c>
      <c r="Q267" s="3">
        <f t="shared" si="14"/>
        <v>0.54545454545454553</v>
      </c>
      <c r="R267">
        <v>0</v>
      </c>
    </row>
    <row r="268" spans="1:18" x14ac:dyDescent="0.45">
      <c r="A268">
        <v>2010</v>
      </c>
      <c r="B268" t="s">
        <v>17</v>
      </c>
      <c r="C268" t="s">
        <v>69</v>
      </c>
      <c r="D268" t="s">
        <v>213</v>
      </c>
      <c r="E268" t="s">
        <v>90</v>
      </c>
      <c r="F268">
        <v>0</v>
      </c>
      <c r="G268">
        <v>29</v>
      </c>
      <c r="H268">
        <v>0</v>
      </c>
      <c r="I268">
        <v>51.95</v>
      </c>
      <c r="J268">
        <v>27.4</v>
      </c>
      <c r="K268">
        <v>25.55</v>
      </c>
      <c r="L268">
        <v>0</v>
      </c>
      <c r="M268">
        <v>0</v>
      </c>
      <c r="N268">
        <v>0</v>
      </c>
      <c r="O268">
        <f t="shared" si="12"/>
        <v>27.4</v>
      </c>
      <c r="P268">
        <f t="shared" si="13"/>
        <v>25.55</v>
      </c>
      <c r="Q268" s="3">
        <f t="shared" si="14"/>
        <v>0.51746931067044377</v>
      </c>
      <c r="R268">
        <v>0</v>
      </c>
    </row>
    <row r="269" spans="1:18" x14ac:dyDescent="0.45">
      <c r="A269">
        <v>2010</v>
      </c>
      <c r="B269" t="s">
        <v>17</v>
      </c>
      <c r="C269" t="s">
        <v>69</v>
      </c>
      <c r="D269" t="s">
        <v>265</v>
      </c>
      <c r="E269" t="s">
        <v>88</v>
      </c>
      <c r="F269">
        <v>0</v>
      </c>
      <c r="G269">
        <v>30</v>
      </c>
      <c r="H269">
        <v>0</v>
      </c>
      <c r="I269">
        <v>44.62</v>
      </c>
      <c r="J269">
        <v>22.72</v>
      </c>
      <c r="K269">
        <v>22.9</v>
      </c>
      <c r="L269">
        <v>0</v>
      </c>
      <c r="M269">
        <v>0</v>
      </c>
      <c r="N269">
        <v>0</v>
      </c>
      <c r="O269">
        <f t="shared" si="12"/>
        <v>22.72</v>
      </c>
      <c r="P269">
        <f t="shared" si="13"/>
        <v>22.9</v>
      </c>
      <c r="Q269" s="3">
        <f t="shared" si="14"/>
        <v>0.49802718106093818</v>
      </c>
      <c r="R269">
        <v>0</v>
      </c>
    </row>
    <row r="270" spans="1:18" x14ac:dyDescent="0.45">
      <c r="A270">
        <v>2010</v>
      </c>
      <c r="B270" t="s">
        <v>70</v>
      </c>
      <c r="C270">
        <v>1</v>
      </c>
      <c r="D270" t="s">
        <v>266</v>
      </c>
      <c r="E270" t="s">
        <v>24</v>
      </c>
      <c r="F270">
        <v>228.56</v>
      </c>
      <c r="G270">
        <v>1</v>
      </c>
      <c r="H270">
        <v>1</v>
      </c>
      <c r="I270">
        <v>78.5</v>
      </c>
      <c r="J270">
        <v>44.7</v>
      </c>
      <c r="K270">
        <v>33.799999999999997</v>
      </c>
      <c r="L270">
        <v>150.06</v>
      </c>
      <c r="M270">
        <v>78.3</v>
      </c>
      <c r="N270">
        <v>71.760000000000005</v>
      </c>
      <c r="O270">
        <f t="shared" si="12"/>
        <v>123</v>
      </c>
      <c r="P270">
        <f t="shared" si="13"/>
        <v>105.56</v>
      </c>
      <c r="Q270" s="3">
        <f t="shared" si="14"/>
        <v>0.53815190759537979</v>
      </c>
      <c r="R270">
        <v>1</v>
      </c>
    </row>
    <row r="271" spans="1:18" x14ac:dyDescent="0.45">
      <c r="A271">
        <v>2010</v>
      </c>
      <c r="B271" t="s">
        <v>70</v>
      </c>
      <c r="C271">
        <v>2</v>
      </c>
      <c r="D271" t="s">
        <v>225</v>
      </c>
      <c r="E271" t="s">
        <v>21</v>
      </c>
      <c r="F271">
        <v>205.5</v>
      </c>
      <c r="G271">
        <v>2</v>
      </c>
      <c r="H271">
        <v>2</v>
      </c>
      <c r="I271">
        <v>73.78</v>
      </c>
      <c r="J271">
        <v>41.5</v>
      </c>
      <c r="K271">
        <v>32.28</v>
      </c>
      <c r="L271">
        <v>131.72</v>
      </c>
      <c r="M271">
        <v>64.680000000000007</v>
      </c>
      <c r="N271">
        <v>67.040000000000006</v>
      </c>
      <c r="O271">
        <f t="shared" si="12"/>
        <v>106.18</v>
      </c>
      <c r="P271">
        <f t="shared" si="13"/>
        <v>99.320000000000007</v>
      </c>
      <c r="Q271" s="3">
        <f t="shared" si="14"/>
        <v>0.51669099756691006</v>
      </c>
      <c r="R271">
        <v>2</v>
      </c>
    </row>
    <row r="272" spans="1:18" x14ac:dyDescent="0.45">
      <c r="A272">
        <v>2010</v>
      </c>
      <c r="B272" t="s">
        <v>70</v>
      </c>
      <c r="C272">
        <v>3</v>
      </c>
      <c r="D272" t="s">
        <v>267</v>
      </c>
      <c r="E272" t="s">
        <v>26</v>
      </c>
      <c r="F272">
        <v>202.64</v>
      </c>
      <c r="G272">
        <v>3</v>
      </c>
      <c r="H272">
        <v>3</v>
      </c>
      <c r="I272">
        <v>71.36</v>
      </c>
      <c r="J272">
        <v>39.200000000000003</v>
      </c>
      <c r="K272">
        <v>32.159999999999997</v>
      </c>
      <c r="L272">
        <v>131.28</v>
      </c>
      <c r="M272">
        <v>62.8</v>
      </c>
      <c r="N272">
        <v>68.48</v>
      </c>
      <c r="O272">
        <f t="shared" si="12"/>
        <v>102</v>
      </c>
      <c r="P272">
        <f t="shared" si="13"/>
        <v>100.64</v>
      </c>
      <c r="Q272" s="3">
        <f t="shared" si="14"/>
        <v>0.50335570469798663</v>
      </c>
      <c r="R272">
        <v>3</v>
      </c>
    </row>
    <row r="273" spans="1:18" x14ac:dyDescent="0.45">
      <c r="A273">
        <v>2010</v>
      </c>
      <c r="B273" t="s">
        <v>70</v>
      </c>
      <c r="C273">
        <v>4</v>
      </c>
      <c r="D273" t="s">
        <v>184</v>
      </c>
      <c r="E273" t="s">
        <v>32</v>
      </c>
      <c r="F273">
        <v>190.15</v>
      </c>
      <c r="G273">
        <v>6</v>
      </c>
      <c r="H273">
        <v>5</v>
      </c>
      <c r="I273">
        <v>63.76</v>
      </c>
      <c r="J273">
        <v>37</v>
      </c>
      <c r="K273">
        <v>26.76</v>
      </c>
      <c r="L273">
        <v>126.39</v>
      </c>
      <c r="M273">
        <v>65.83</v>
      </c>
      <c r="N273">
        <v>60.56</v>
      </c>
      <c r="O273">
        <f t="shared" si="12"/>
        <v>102.83</v>
      </c>
      <c r="P273">
        <f t="shared" si="13"/>
        <v>87.320000000000007</v>
      </c>
      <c r="Q273" s="3">
        <f t="shared" si="14"/>
        <v>0.54078359190113068</v>
      </c>
      <c r="R273">
        <v>0</v>
      </c>
    </row>
    <row r="274" spans="1:18" x14ac:dyDescent="0.45">
      <c r="A274">
        <v>2010</v>
      </c>
      <c r="B274" t="s">
        <v>70</v>
      </c>
      <c r="C274">
        <v>5</v>
      </c>
      <c r="D274" t="s">
        <v>268</v>
      </c>
      <c r="E274" t="s">
        <v>21</v>
      </c>
      <c r="F274">
        <v>188.86</v>
      </c>
      <c r="G274">
        <v>4</v>
      </c>
      <c r="H274">
        <v>6</v>
      </c>
      <c r="I274">
        <v>64.760000000000005</v>
      </c>
      <c r="J274">
        <v>34.799999999999997</v>
      </c>
      <c r="K274">
        <v>29.96</v>
      </c>
      <c r="L274">
        <v>124.1</v>
      </c>
      <c r="M274">
        <v>62.5</v>
      </c>
      <c r="N274">
        <v>61.6</v>
      </c>
      <c r="O274">
        <f t="shared" si="12"/>
        <v>97.3</v>
      </c>
      <c r="P274">
        <f t="shared" si="13"/>
        <v>91.56</v>
      </c>
      <c r="Q274" s="3">
        <f t="shared" si="14"/>
        <v>0.51519644180874713</v>
      </c>
      <c r="R274">
        <v>0</v>
      </c>
    </row>
    <row r="275" spans="1:18" x14ac:dyDescent="0.45">
      <c r="A275">
        <v>2010</v>
      </c>
      <c r="B275" t="s">
        <v>70</v>
      </c>
      <c r="C275">
        <v>6</v>
      </c>
      <c r="D275" t="s">
        <v>269</v>
      </c>
      <c r="E275" t="s">
        <v>88</v>
      </c>
      <c r="F275">
        <v>187.97</v>
      </c>
      <c r="G275">
        <v>10</v>
      </c>
      <c r="H275">
        <v>4</v>
      </c>
      <c r="I275">
        <v>61.36</v>
      </c>
      <c r="J275">
        <v>32.880000000000003</v>
      </c>
      <c r="K275">
        <v>28.48</v>
      </c>
      <c r="L275">
        <v>126.61</v>
      </c>
      <c r="M275">
        <v>63.89</v>
      </c>
      <c r="N275">
        <v>62.72</v>
      </c>
      <c r="O275">
        <f t="shared" si="12"/>
        <v>96.77000000000001</v>
      </c>
      <c r="P275">
        <f t="shared" si="13"/>
        <v>91.2</v>
      </c>
      <c r="Q275" s="3">
        <f t="shared" si="14"/>
        <v>0.5148161940735223</v>
      </c>
      <c r="R275">
        <v>0</v>
      </c>
    </row>
    <row r="276" spans="1:18" x14ac:dyDescent="0.45">
      <c r="A276">
        <v>2010</v>
      </c>
      <c r="B276" t="s">
        <v>70</v>
      </c>
      <c r="C276">
        <v>7</v>
      </c>
      <c r="D276" t="s">
        <v>270</v>
      </c>
      <c r="E276" t="s">
        <v>32</v>
      </c>
      <c r="F276">
        <v>182.49</v>
      </c>
      <c r="G276">
        <v>5</v>
      </c>
      <c r="H276">
        <v>8</v>
      </c>
      <c r="I276">
        <v>64.64</v>
      </c>
      <c r="J276">
        <v>36.799999999999997</v>
      </c>
      <c r="K276">
        <v>27.84</v>
      </c>
      <c r="L276">
        <v>117.85</v>
      </c>
      <c r="M276">
        <v>59.37</v>
      </c>
      <c r="N276">
        <v>58.48</v>
      </c>
      <c r="O276">
        <f t="shared" si="12"/>
        <v>96.169999999999987</v>
      </c>
      <c r="P276">
        <f t="shared" si="13"/>
        <v>86.32</v>
      </c>
      <c r="Q276" s="3">
        <f t="shared" si="14"/>
        <v>0.52698778015233705</v>
      </c>
      <c r="R276">
        <v>0</v>
      </c>
    </row>
    <row r="277" spans="1:18" x14ac:dyDescent="0.45">
      <c r="A277">
        <v>2010</v>
      </c>
      <c r="B277" t="s">
        <v>70</v>
      </c>
      <c r="C277">
        <v>8</v>
      </c>
      <c r="D277" t="s">
        <v>227</v>
      </c>
      <c r="E277" t="s">
        <v>21</v>
      </c>
      <c r="F277">
        <v>181.44</v>
      </c>
      <c r="G277">
        <v>11</v>
      </c>
      <c r="H277">
        <v>7</v>
      </c>
      <c r="I277">
        <v>61.02</v>
      </c>
      <c r="J277">
        <v>33.1</v>
      </c>
      <c r="K277">
        <v>27.92</v>
      </c>
      <c r="L277">
        <v>120.42</v>
      </c>
      <c r="M277">
        <v>60.98</v>
      </c>
      <c r="N277">
        <v>59.44</v>
      </c>
      <c r="O277">
        <f t="shared" si="12"/>
        <v>94.08</v>
      </c>
      <c r="P277">
        <f t="shared" si="13"/>
        <v>87.36</v>
      </c>
      <c r="Q277" s="3">
        <f t="shared" si="14"/>
        <v>0.51851851851851849</v>
      </c>
      <c r="R277">
        <v>0</v>
      </c>
    </row>
    <row r="278" spans="1:18" x14ac:dyDescent="0.45">
      <c r="A278">
        <v>2010</v>
      </c>
      <c r="B278" t="s">
        <v>70</v>
      </c>
      <c r="C278">
        <v>9</v>
      </c>
      <c r="D278" t="s">
        <v>271</v>
      </c>
      <c r="E278" t="s">
        <v>220</v>
      </c>
      <c r="F278">
        <v>172.46</v>
      </c>
      <c r="G278">
        <v>8</v>
      </c>
      <c r="H278">
        <v>10</v>
      </c>
      <c r="I278">
        <v>62.14</v>
      </c>
      <c r="J278">
        <v>33.9</v>
      </c>
      <c r="K278">
        <v>28.24</v>
      </c>
      <c r="L278">
        <v>110.32</v>
      </c>
      <c r="M278">
        <v>55.84</v>
      </c>
      <c r="N278">
        <v>54.48</v>
      </c>
      <c r="O278">
        <f t="shared" si="12"/>
        <v>89.740000000000009</v>
      </c>
      <c r="P278">
        <f t="shared" si="13"/>
        <v>82.72</v>
      </c>
      <c r="Q278" s="3">
        <f t="shared" si="14"/>
        <v>0.5203525455178013</v>
      </c>
      <c r="R278">
        <v>0</v>
      </c>
    </row>
    <row r="279" spans="1:18" x14ac:dyDescent="0.45">
      <c r="A279">
        <v>2010</v>
      </c>
      <c r="B279" t="s">
        <v>70</v>
      </c>
      <c r="C279">
        <v>10</v>
      </c>
      <c r="D279" t="s">
        <v>272</v>
      </c>
      <c r="E279" t="s">
        <v>220</v>
      </c>
      <c r="F279">
        <v>171.91</v>
      </c>
      <c r="G279">
        <v>12</v>
      </c>
      <c r="H279">
        <v>9</v>
      </c>
      <c r="I279">
        <v>59.22</v>
      </c>
      <c r="J279">
        <v>35.46</v>
      </c>
      <c r="K279">
        <v>23.76</v>
      </c>
      <c r="L279">
        <v>112.69</v>
      </c>
      <c r="M279">
        <v>58.77</v>
      </c>
      <c r="N279">
        <v>53.92</v>
      </c>
      <c r="O279">
        <f t="shared" si="12"/>
        <v>94.23</v>
      </c>
      <c r="P279">
        <f t="shared" si="13"/>
        <v>77.680000000000007</v>
      </c>
      <c r="Q279" s="3">
        <f t="shared" si="14"/>
        <v>0.54813565237624329</v>
      </c>
      <c r="R279">
        <v>0</v>
      </c>
    </row>
    <row r="280" spans="1:18" x14ac:dyDescent="0.45">
      <c r="A280">
        <v>2010</v>
      </c>
      <c r="B280" t="s">
        <v>70</v>
      </c>
      <c r="C280">
        <v>11</v>
      </c>
      <c r="D280" t="s">
        <v>273</v>
      </c>
      <c r="E280" t="s">
        <v>88</v>
      </c>
      <c r="F280">
        <v>161.57</v>
      </c>
      <c r="G280">
        <v>17</v>
      </c>
      <c r="H280">
        <v>11</v>
      </c>
      <c r="I280">
        <v>52.96</v>
      </c>
      <c r="J280">
        <v>27.72</v>
      </c>
      <c r="K280">
        <v>26.24</v>
      </c>
      <c r="L280">
        <v>108.61</v>
      </c>
      <c r="M280">
        <v>54.93</v>
      </c>
      <c r="N280">
        <v>53.68</v>
      </c>
      <c r="O280">
        <f t="shared" si="12"/>
        <v>82.65</v>
      </c>
      <c r="P280">
        <f t="shared" si="13"/>
        <v>79.92</v>
      </c>
      <c r="Q280" s="3">
        <f t="shared" si="14"/>
        <v>0.50839638309651236</v>
      </c>
      <c r="R280">
        <v>0</v>
      </c>
    </row>
    <row r="281" spans="1:18" x14ac:dyDescent="0.45">
      <c r="A281">
        <v>2010</v>
      </c>
      <c r="B281" t="s">
        <v>70</v>
      </c>
      <c r="C281">
        <v>12</v>
      </c>
      <c r="D281" t="s">
        <v>274</v>
      </c>
      <c r="E281" t="s">
        <v>26</v>
      </c>
      <c r="F281">
        <v>156.62</v>
      </c>
      <c r="G281">
        <v>14</v>
      </c>
      <c r="H281">
        <v>13</v>
      </c>
      <c r="I281">
        <v>57.16</v>
      </c>
      <c r="J281">
        <v>31.8</v>
      </c>
      <c r="K281">
        <v>26.36</v>
      </c>
      <c r="L281">
        <v>99.46</v>
      </c>
      <c r="M281">
        <v>48.94</v>
      </c>
      <c r="N281">
        <v>51.52</v>
      </c>
      <c r="O281">
        <f t="shared" si="12"/>
        <v>80.739999999999995</v>
      </c>
      <c r="P281">
        <f t="shared" si="13"/>
        <v>77.88</v>
      </c>
      <c r="Q281" s="3">
        <f t="shared" si="14"/>
        <v>0.50901525658807212</v>
      </c>
      <c r="R281">
        <v>0</v>
      </c>
    </row>
    <row r="282" spans="1:18" x14ac:dyDescent="0.45">
      <c r="A282">
        <v>2010</v>
      </c>
      <c r="B282" t="s">
        <v>70</v>
      </c>
      <c r="C282">
        <v>13</v>
      </c>
      <c r="D282" t="s">
        <v>275</v>
      </c>
      <c r="E282" t="s">
        <v>24</v>
      </c>
      <c r="F282">
        <v>155.53</v>
      </c>
      <c r="G282">
        <v>16</v>
      </c>
      <c r="H282">
        <v>12</v>
      </c>
      <c r="I282">
        <v>53.16</v>
      </c>
      <c r="J282">
        <v>31.4</v>
      </c>
      <c r="K282">
        <v>21.76</v>
      </c>
      <c r="L282">
        <v>102.37</v>
      </c>
      <c r="M282">
        <v>53.57</v>
      </c>
      <c r="N282">
        <v>48.8</v>
      </c>
      <c r="O282">
        <f t="shared" si="12"/>
        <v>84.97</v>
      </c>
      <c r="P282">
        <f t="shared" si="13"/>
        <v>70.56</v>
      </c>
      <c r="Q282" s="3">
        <f t="shared" si="14"/>
        <v>0.5463254677554169</v>
      </c>
      <c r="R282">
        <v>0</v>
      </c>
    </row>
    <row r="283" spans="1:18" x14ac:dyDescent="0.45">
      <c r="A283">
        <v>2010</v>
      </c>
      <c r="B283" t="s">
        <v>70</v>
      </c>
      <c r="C283">
        <v>14</v>
      </c>
      <c r="D283" t="s">
        <v>235</v>
      </c>
      <c r="E283" t="s">
        <v>36</v>
      </c>
      <c r="F283">
        <v>155.24</v>
      </c>
      <c r="G283">
        <v>9</v>
      </c>
      <c r="H283">
        <v>17</v>
      </c>
      <c r="I283">
        <v>61.92</v>
      </c>
      <c r="J283">
        <v>35.799999999999997</v>
      </c>
      <c r="K283">
        <v>26.12</v>
      </c>
      <c r="L283">
        <v>93.32</v>
      </c>
      <c r="M283">
        <v>40.64</v>
      </c>
      <c r="N283">
        <v>53.68</v>
      </c>
      <c r="O283">
        <f t="shared" si="12"/>
        <v>76.44</v>
      </c>
      <c r="P283">
        <f t="shared" si="13"/>
        <v>79.8</v>
      </c>
      <c r="Q283" s="3">
        <f t="shared" si="14"/>
        <v>0.48924731182795694</v>
      </c>
      <c r="R283">
        <v>0</v>
      </c>
    </row>
    <row r="284" spans="1:18" x14ac:dyDescent="0.45">
      <c r="A284">
        <v>2010</v>
      </c>
      <c r="B284" t="s">
        <v>70</v>
      </c>
      <c r="C284">
        <v>15</v>
      </c>
      <c r="D284" t="s">
        <v>276</v>
      </c>
      <c r="E284" t="s">
        <v>41</v>
      </c>
      <c r="F284">
        <v>152.81</v>
      </c>
      <c r="G284">
        <v>15</v>
      </c>
      <c r="H284">
        <v>14</v>
      </c>
      <c r="I284">
        <v>56.7</v>
      </c>
      <c r="J284">
        <v>30.7</v>
      </c>
      <c r="K284">
        <v>26</v>
      </c>
      <c r="L284">
        <v>96.11</v>
      </c>
      <c r="M284">
        <v>43.87</v>
      </c>
      <c r="N284">
        <v>52.24</v>
      </c>
      <c r="O284">
        <f t="shared" si="12"/>
        <v>74.569999999999993</v>
      </c>
      <c r="P284">
        <f t="shared" si="13"/>
        <v>78.240000000000009</v>
      </c>
      <c r="Q284" s="3">
        <f t="shared" si="14"/>
        <v>0.48799162358484388</v>
      </c>
      <c r="R284">
        <v>0</v>
      </c>
    </row>
    <row r="285" spans="1:18" x14ac:dyDescent="0.45">
      <c r="A285">
        <v>2010</v>
      </c>
      <c r="B285" t="s">
        <v>70</v>
      </c>
      <c r="C285">
        <v>16</v>
      </c>
      <c r="D285" t="s">
        <v>180</v>
      </c>
      <c r="E285" t="s">
        <v>34</v>
      </c>
      <c r="F285">
        <v>151.9</v>
      </c>
      <c r="G285">
        <v>7</v>
      </c>
      <c r="H285">
        <v>19</v>
      </c>
      <c r="I285">
        <v>63.02</v>
      </c>
      <c r="J285">
        <v>33.340000000000003</v>
      </c>
      <c r="K285">
        <v>29.68</v>
      </c>
      <c r="L285">
        <v>88.88</v>
      </c>
      <c r="M285">
        <v>34.840000000000003</v>
      </c>
      <c r="N285">
        <v>57.04</v>
      </c>
      <c r="O285">
        <f t="shared" si="12"/>
        <v>68.180000000000007</v>
      </c>
      <c r="P285">
        <f t="shared" si="13"/>
        <v>86.72</v>
      </c>
      <c r="Q285" s="3">
        <f t="shared" si="14"/>
        <v>0.4401549386701098</v>
      </c>
      <c r="R285">
        <v>0</v>
      </c>
    </row>
    <row r="286" spans="1:18" x14ac:dyDescent="0.45">
      <c r="A286">
        <v>2010</v>
      </c>
      <c r="B286" t="s">
        <v>70</v>
      </c>
      <c r="C286">
        <v>17</v>
      </c>
      <c r="D286" t="s">
        <v>277</v>
      </c>
      <c r="E286" t="s">
        <v>193</v>
      </c>
      <c r="F286">
        <v>151.26</v>
      </c>
      <c r="G286">
        <v>13</v>
      </c>
      <c r="H286">
        <v>16</v>
      </c>
      <c r="I286">
        <v>57.46</v>
      </c>
      <c r="J286">
        <v>30.7</v>
      </c>
      <c r="K286">
        <v>26.76</v>
      </c>
      <c r="L286">
        <v>93.8</v>
      </c>
      <c r="M286">
        <v>41.32</v>
      </c>
      <c r="N286">
        <v>52.48</v>
      </c>
      <c r="O286">
        <f t="shared" si="12"/>
        <v>72.02</v>
      </c>
      <c r="P286">
        <f t="shared" si="13"/>
        <v>79.239999999999995</v>
      </c>
      <c r="Q286" s="3">
        <f t="shared" si="14"/>
        <v>0.47613380933492</v>
      </c>
      <c r="R286">
        <v>0</v>
      </c>
    </row>
    <row r="287" spans="1:18" x14ac:dyDescent="0.45">
      <c r="A287">
        <v>2010</v>
      </c>
      <c r="B287" t="s">
        <v>70</v>
      </c>
      <c r="C287">
        <v>18</v>
      </c>
      <c r="D287" t="s">
        <v>278</v>
      </c>
      <c r="E287" t="s">
        <v>140</v>
      </c>
      <c r="F287">
        <v>143.94</v>
      </c>
      <c r="G287">
        <v>23</v>
      </c>
      <c r="H287">
        <v>15</v>
      </c>
      <c r="I287">
        <v>49.04</v>
      </c>
      <c r="J287">
        <v>27.04</v>
      </c>
      <c r="K287">
        <v>22</v>
      </c>
      <c r="L287">
        <v>94.9</v>
      </c>
      <c r="M287">
        <v>50.98</v>
      </c>
      <c r="N287">
        <v>43.92</v>
      </c>
      <c r="O287">
        <f t="shared" si="12"/>
        <v>78.02</v>
      </c>
      <c r="P287">
        <f t="shared" si="13"/>
        <v>65.92</v>
      </c>
      <c r="Q287" s="3">
        <f t="shared" si="14"/>
        <v>0.54203140197304434</v>
      </c>
      <c r="R287">
        <v>0</v>
      </c>
    </row>
    <row r="288" spans="1:18" x14ac:dyDescent="0.45">
      <c r="A288">
        <v>2010</v>
      </c>
      <c r="B288" t="s">
        <v>70</v>
      </c>
      <c r="C288">
        <v>19</v>
      </c>
      <c r="D288" t="s">
        <v>279</v>
      </c>
      <c r="E288" t="s">
        <v>46</v>
      </c>
      <c r="F288">
        <v>143.47</v>
      </c>
      <c r="G288">
        <v>19</v>
      </c>
      <c r="H288">
        <v>18</v>
      </c>
      <c r="I288">
        <v>51.74</v>
      </c>
      <c r="J288">
        <v>29.94</v>
      </c>
      <c r="K288">
        <v>21.8</v>
      </c>
      <c r="L288">
        <v>91.73</v>
      </c>
      <c r="M288">
        <v>49.33</v>
      </c>
      <c r="N288">
        <v>42.4</v>
      </c>
      <c r="O288">
        <f t="shared" si="12"/>
        <v>79.27</v>
      </c>
      <c r="P288">
        <f t="shared" si="13"/>
        <v>64.2</v>
      </c>
      <c r="Q288" s="3">
        <f t="shared" si="14"/>
        <v>0.55251969052763639</v>
      </c>
      <c r="R288">
        <v>0</v>
      </c>
    </row>
    <row r="289" spans="1:18" x14ac:dyDescent="0.45">
      <c r="A289">
        <v>2010</v>
      </c>
      <c r="B289" t="s">
        <v>70</v>
      </c>
      <c r="C289">
        <v>20</v>
      </c>
      <c r="D289" t="s">
        <v>280</v>
      </c>
      <c r="E289" t="s">
        <v>118</v>
      </c>
      <c r="F289">
        <v>138.16</v>
      </c>
      <c r="G289">
        <v>18</v>
      </c>
      <c r="H289">
        <v>20</v>
      </c>
      <c r="I289">
        <v>52.16</v>
      </c>
      <c r="J289">
        <v>30.72</v>
      </c>
      <c r="K289">
        <v>21.44</v>
      </c>
      <c r="L289">
        <v>86</v>
      </c>
      <c r="M289">
        <v>42.44</v>
      </c>
      <c r="N289">
        <v>44.56</v>
      </c>
      <c r="O289">
        <f t="shared" si="12"/>
        <v>73.16</v>
      </c>
      <c r="P289">
        <f t="shared" si="13"/>
        <v>66</v>
      </c>
      <c r="Q289" s="3">
        <f t="shared" si="14"/>
        <v>0.5257257832710549</v>
      </c>
      <c r="R289">
        <v>0</v>
      </c>
    </row>
    <row r="290" spans="1:18" x14ac:dyDescent="0.45">
      <c r="A290">
        <v>2010</v>
      </c>
      <c r="B290" t="s">
        <v>70</v>
      </c>
      <c r="C290">
        <v>21</v>
      </c>
      <c r="D290" t="s">
        <v>245</v>
      </c>
      <c r="E290" t="s">
        <v>44</v>
      </c>
      <c r="F290">
        <v>134.19</v>
      </c>
      <c r="G290">
        <v>20</v>
      </c>
      <c r="H290">
        <v>22</v>
      </c>
      <c r="I290">
        <v>50.8</v>
      </c>
      <c r="J290">
        <v>27.2</v>
      </c>
      <c r="K290">
        <v>23.6</v>
      </c>
      <c r="L290">
        <v>83.39</v>
      </c>
      <c r="M290">
        <v>39.11</v>
      </c>
      <c r="N290">
        <v>45.28</v>
      </c>
      <c r="O290">
        <f t="shared" si="12"/>
        <v>66.31</v>
      </c>
      <c r="P290">
        <f t="shared" si="13"/>
        <v>68.88</v>
      </c>
      <c r="Q290" s="3">
        <f t="shared" si="14"/>
        <v>0.49049485908721063</v>
      </c>
      <c r="R290">
        <v>0</v>
      </c>
    </row>
    <row r="291" spans="1:18" x14ac:dyDescent="0.45">
      <c r="A291">
        <v>2010</v>
      </c>
      <c r="B291" t="s">
        <v>70</v>
      </c>
      <c r="C291">
        <v>22</v>
      </c>
      <c r="D291" t="s">
        <v>281</v>
      </c>
      <c r="E291" t="s">
        <v>61</v>
      </c>
      <c r="F291">
        <v>133.51</v>
      </c>
      <c r="G291">
        <v>22</v>
      </c>
      <c r="H291">
        <v>21</v>
      </c>
      <c r="I291">
        <v>49.74</v>
      </c>
      <c r="J291">
        <v>28.94</v>
      </c>
      <c r="K291">
        <v>20.8</v>
      </c>
      <c r="L291">
        <v>83.77</v>
      </c>
      <c r="M291">
        <v>43.97</v>
      </c>
      <c r="N291">
        <v>40.799999999999997</v>
      </c>
      <c r="O291">
        <f t="shared" si="12"/>
        <v>72.91</v>
      </c>
      <c r="P291">
        <f t="shared" si="13"/>
        <v>61.599999999999994</v>
      </c>
      <c r="Q291" s="3">
        <f t="shared" si="14"/>
        <v>0.54204148390454243</v>
      </c>
      <c r="R291">
        <v>0</v>
      </c>
    </row>
    <row r="292" spans="1:18" x14ac:dyDescent="0.45">
      <c r="A292">
        <v>2010</v>
      </c>
      <c r="B292" t="s">
        <v>70</v>
      </c>
      <c r="C292">
        <v>23</v>
      </c>
      <c r="D292" t="s">
        <v>282</v>
      </c>
      <c r="E292" t="s">
        <v>164</v>
      </c>
      <c r="F292">
        <v>131.65</v>
      </c>
      <c r="G292">
        <v>24</v>
      </c>
      <c r="H292">
        <v>23</v>
      </c>
      <c r="I292">
        <v>49.02</v>
      </c>
      <c r="J292">
        <v>27.94</v>
      </c>
      <c r="K292">
        <v>21.08</v>
      </c>
      <c r="L292">
        <v>82.63</v>
      </c>
      <c r="M292">
        <v>41.47</v>
      </c>
      <c r="N292">
        <v>42.16</v>
      </c>
      <c r="O292">
        <f t="shared" si="12"/>
        <v>69.41</v>
      </c>
      <c r="P292">
        <f t="shared" si="13"/>
        <v>63.239999999999995</v>
      </c>
      <c r="Q292" s="3">
        <f t="shared" si="14"/>
        <v>0.52325669053901247</v>
      </c>
      <c r="R292">
        <v>0</v>
      </c>
    </row>
    <row r="293" spans="1:18" x14ac:dyDescent="0.45">
      <c r="A293">
        <v>2010</v>
      </c>
      <c r="B293" t="s">
        <v>70</v>
      </c>
      <c r="C293">
        <v>24</v>
      </c>
      <c r="D293" t="s">
        <v>283</v>
      </c>
      <c r="E293" t="s">
        <v>284</v>
      </c>
      <c r="F293">
        <v>129.54</v>
      </c>
      <c r="G293">
        <v>21</v>
      </c>
      <c r="H293">
        <v>24</v>
      </c>
      <c r="I293">
        <v>50.74</v>
      </c>
      <c r="J293">
        <v>28.74</v>
      </c>
      <c r="K293">
        <v>22</v>
      </c>
      <c r="L293">
        <v>78.8</v>
      </c>
      <c r="M293">
        <v>37.64</v>
      </c>
      <c r="N293">
        <v>42.16</v>
      </c>
      <c r="O293">
        <f t="shared" si="12"/>
        <v>66.38</v>
      </c>
      <c r="P293">
        <f t="shared" si="13"/>
        <v>64.16</v>
      </c>
      <c r="Q293" s="3">
        <f t="shared" si="14"/>
        <v>0.50850314079975489</v>
      </c>
      <c r="R293">
        <v>0</v>
      </c>
    </row>
    <row r="294" spans="1:18" x14ac:dyDescent="0.45">
      <c r="A294">
        <v>2010</v>
      </c>
      <c r="B294" t="s">
        <v>70</v>
      </c>
      <c r="C294" t="s">
        <v>69</v>
      </c>
      <c r="D294" t="s">
        <v>285</v>
      </c>
      <c r="E294" t="s">
        <v>84</v>
      </c>
      <c r="F294">
        <v>0</v>
      </c>
      <c r="G294">
        <v>25</v>
      </c>
      <c r="H294">
        <v>0</v>
      </c>
      <c r="I294">
        <v>46.1</v>
      </c>
      <c r="J294">
        <v>26.26</v>
      </c>
      <c r="K294">
        <v>19.84</v>
      </c>
      <c r="L294">
        <v>0</v>
      </c>
      <c r="M294">
        <v>0</v>
      </c>
      <c r="N294">
        <v>0</v>
      </c>
      <c r="O294">
        <f t="shared" si="12"/>
        <v>26.26</v>
      </c>
      <c r="P294">
        <f t="shared" si="13"/>
        <v>19.84</v>
      </c>
      <c r="Q294" s="3">
        <f t="shared" si="14"/>
        <v>0.56963123644251623</v>
      </c>
      <c r="R294">
        <v>0</v>
      </c>
    </row>
    <row r="295" spans="1:18" x14ac:dyDescent="0.45">
      <c r="A295">
        <v>2010</v>
      </c>
      <c r="B295" t="s">
        <v>70</v>
      </c>
      <c r="C295" t="s">
        <v>69</v>
      </c>
      <c r="D295" t="s">
        <v>286</v>
      </c>
      <c r="E295" t="s">
        <v>92</v>
      </c>
      <c r="F295">
        <v>0</v>
      </c>
      <c r="G295">
        <v>26</v>
      </c>
      <c r="H295">
        <v>0</v>
      </c>
      <c r="I295">
        <v>43.84</v>
      </c>
      <c r="J295">
        <v>24.8</v>
      </c>
      <c r="K295">
        <v>20.04</v>
      </c>
      <c r="L295">
        <v>0</v>
      </c>
      <c r="M295">
        <v>0</v>
      </c>
      <c r="N295">
        <v>0</v>
      </c>
      <c r="O295">
        <f t="shared" si="12"/>
        <v>24.8</v>
      </c>
      <c r="P295">
        <f t="shared" si="13"/>
        <v>20.04</v>
      </c>
      <c r="Q295" s="3">
        <f t="shared" si="14"/>
        <v>0.55307760927743088</v>
      </c>
      <c r="R295">
        <v>0</v>
      </c>
    </row>
    <row r="296" spans="1:18" x14ac:dyDescent="0.45">
      <c r="A296">
        <v>2010</v>
      </c>
      <c r="B296" t="s">
        <v>70</v>
      </c>
      <c r="C296" t="s">
        <v>69</v>
      </c>
      <c r="D296" t="s">
        <v>287</v>
      </c>
      <c r="E296" t="s">
        <v>263</v>
      </c>
      <c r="F296">
        <v>0</v>
      </c>
      <c r="G296">
        <v>27</v>
      </c>
      <c r="H296">
        <v>0</v>
      </c>
      <c r="I296">
        <v>43.8</v>
      </c>
      <c r="J296">
        <v>23.8</v>
      </c>
      <c r="K296">
        <v>20</v>
      </c>
      <c r="L296">
        <v>0</v>
      </c>
      <c r="M296">
        <v>0</v>
      </c>
      <c r="N296">
        <v>0</v>
      </c>
      <c r="O296">
        <f t="shared" si="12"/>
        <v>23.8</v>
      </c>
      <c r="P296">
        <f t="shared" si="13"/>
        <v>20</v>
      </c>
      <c r="Q296" s="3">
        <f t="shared" si="14"/>
        <v>0.54337899543378998</v>
      </c>
      <c r="R296">
        <v>0</v>
      </c>
    </row>
    <row r="297" spans="1:18" x14ac:dyDescent="0.45">
      <c r="A297">
        <v>2010</v>
      </c>
      <c r="B297" t="s">
        <v>70</v>
      </c>
      <c r="C297" t="s">
        <v>69</v>
      </c>
      <c r="D297" t="s">
        <v>288</v>
      </c>
      <c r="E297" t="s">
        <v>59</v>
      </c>
      <c r="F297">
        <v>0</v>
      </c>
      <c r="G297">
        <v>28</v>
      </c>
      <c r="H297">
        <v>0</v>
      </c>
      <c r="I297">
        <v>41.94</v>
      </c>
      <c r="J297">
        <v>22.66</v>
      </c>
      <c r="K297">
        <v>19.28</v>
      </c>
      <c r="L297">
        <v>0</v>
      </c>
      <c r="M297">
        <v>0</v>
      </c>
      <c r="N297">
        <v>0</v>
      </c>
      <c r="O297">
        <f t="shared" si="12"/>
        <v>22.66</v>
      </c>
      <c r="P297">
        <f t="shared" si="13"/>
        <v>19.28</v>
      </c>
      <c r="Q297" s="3">
        <f t="shared" si="14"/>
        <v>0.54029566046733435</v>
      </c>
      <c r="R297">
        <v>0</v>
      </c>
    </row>
    <row r="298" spans="1:18" x14ac:dyDescent="0.45">
      <c r="A298">
        <v>2010</v>
      </c>
      <c r="B298" t="s">
        <v>70</v>
      </c>
      <c r="C298" t="s">
        <v>69</v>
      </c>
      <c r="D298" t="s">
        <v>241</v>
      </c>
      <c r="E298" t="s">
        <v>107</v>
      </c>
      <c r="F298">
        <v>0</v>
      </c>
      <c r="G298">
        <v>29</v>
      </c>
      <c r="H298">
        <v>0</v>
      </c>
      <c r="I298">
        <v>40.64</v>
      </c>
      <c r="J298">
        <v>20.079999999999998</v>
      </c>
      <c r="K298">
        <v>21.56</v>
      </c>
      <c r="L298">
        <v>0</v>
      </c>
      <c r="M298">
        <v>0</v>
      </c>
      <c r="N298">
        <v>0</v>
      </c>
      <c r="O298">
        <f t="shared" si="12"/>
        <v>20.079999999999998</v>
      </c>
      <c r="P298">
        <f t="shared" si="13"/>
        <v>21.56</v>
      </c>
      <c r="Q298" s="3">
        <f t="shared" si="14"/>
        <v>0.48222862632084529</v>
      </c>
      <c r="R298">
        <v>0</v>
      </c>
    </row>
    <row r="299" spans="1:18" x14ac:dyDescent="0.45">
      <c r="A299">
        <v>2010</v>
      </c>
      <c r="B299" t="s">
        <v>70</v>
      </c>
      <c r="C299" t="s">
        <v>69</v>
      </c>
      <c r="D299" t="s">
        <v>289</v>
      </c>
      <c r="E299" t="s">
        <v>53</v>
      </c>
      <c r="F299">
        <v>0</v>
      </c>
      <c r="G299">
        <v>30</v>
      </c>
      <c r="H299">
        <v>0</v>
      </c>
      <c r="I299">
        <v>36.1</v>
      </c>
      <c r="J299">
        <v>16.78</v>
      </c>
      <c r="K299">
        <v>19.32</v>
      </c>
      <c r="L299">
        <v>0</v>
      </c>
      <c r="M299">
        <v>0</v>
      </c>
      <c r="N299">
        <v>0</v>
      </c>
      <c r="O299">
        <f t="shared" si="12"/>
        <v>16.78</v>
      </c>
      <c r="P299">
        <f t="shared" si="13"/>
        <v>19.32</v>
      </c>
      <c r="Q299" s="3">
        <f t="shared" si="14"/>
        <v>0.46481994459833798</v>
      </c>
      <c r="R299">
        <v>0</v>
      </c>
    </row>
    <row r="300" spans="1:18" x14ac:dyDescent="0.45">
      <c r="A300">
        <v>2006</v>
      </c>
      <c r="B300" t="s">
        <v>17</v>
      </c>
      <c r="C300">
        <v>1</v>
      </c>
      <c r="D300" t="s">
        <v>247</v>
      </c>
      <c r="E300" t="s">
        <v>290</v>
      </c>
      <c r="F300">
        <v>258.33</v>
      </c>
      <c r="G300">
        <v>1</v>
      </c>
      <c r="H300">
        <v>1</v>
      </c>
      <c r="I300">
        <v>90.66</v>
      </c>
      <c r="J300">
        <v>49.69</v>
      </c>
      <c r="K300">
        <v>40.97</v>
      </c>
      <c r="L300">
        <v>167.67</v>
      </c>
      <c r="M300">
        <v>85.25</v>
      </c>
      <c r="N300">
        <v>82.42</v>
      </c>
      <c r="O300">
        <f t="shared" si="12"/>
        <v>134.94</v>
      </c>
      <c r="P300">
        <f t="shared" si="13"/>
        <v>123.39</v>
      </c>
      <c r="Q300" s="3">
        <f t="shared" si="14"/>
        <v>0.5223551271629312</v>
      </c>
      <c r="R300">
        <v>1</v>
      </c>
    </row>
    <row r="301" spans="1:18" x14ac:dyDescent="0.45">
      <c r="A301">
        <v>2006</v>
      </c>
      <c r="B301" t="s">
        <v>17</v>
      </c>
      <c r="C301">
        <v>2</v>
      </c>
      <c r="D301" t="s">
        <v>248</v>
      </c>
      <c r="E301" t="s">
        <v>291</v>
      </c>
      <c r="F301">
        <v>231.21</v>
      </c>
      <c r="G301">
        <v>3</v>
      </c>
      <c r="H301">
        <v>4</v>
      </c>
      <c r="I301">
        <v>79.040000000000006</v>
      </c>
      <c r="J301">
        <v>40.61</v>
      </c>
      <c r="K301">
        <v>38.43</v>
      </c>
      <c r="L301">
        <v>152.16999999999999</v>
      </c>
      <c r="M301">
        <v>76.89</v>
      </c>
      <c r="N301">
        <v>76.28</v>
      </c>
      <c r="O301">
        <f t="shared" si="12"/>
        <v>117.5</v>
      </c>
      <c r="P301">
        <f t="shared" si="13"/>
        <v>114.71000000000001</v>
      </c>
      <c r="Q301" s="3">
        <f t="shared" si="14"/>
        <v>0.50600749321734639</v>
      </c>
      <c r="R301">
        <v>2</v>
      </c>
    </row>
    <row r="302" spans="1:18" x14ac:dyDescent="0.45">
      <c r="A302">
        <v>2006</v>
      </c>
      <c r="B302" t="s">
        <v>17</v>
      </c>
      <c r="C302">
        <v>3</v>
      </c>
      <c r="D302" t="s">
        <v>292</v>
      </c>
      <c r="E302" t="s">
        <v>293</v>
      </c>
      <c r="F302">
        <v>227.59</v>
      </c>
      <c r="G302">
        <v>6</v>
      </c>
      <c r="H302">
        <v>2</v>
      </c>
      <c r="I302">
        <v>73.290000000000006</v>
      </c>
      <c r="J302">
        <v>37.01</v>
      </c>
      <c r="K302">
        <v>37.28</v>
      </c>
      <c r="L302">
        <v>154.30000000000001</v>
      </c>
      <c r="M302">
        <v>76.8</v>
      </c>
      <c r="N302">
        <v>78.5</v>
      </c>
      <c r="O302">
        <f t="shared" si="12"/>
        <v>113.81</v>
      </c>
      <c r="P302">
        <f t="shared" si="13"/>
        <v>115.78</v>
      </c>
      <c r="Q302" s="3">
        <f t="shared" si="14"/>
        <v>0.49570974345572544</v>
      </c>
      <c r="R302">
        <v>3</v>
      </c>
    </row>
    <row r="303" spans="1:18" x14ac:dyDescent="0.45">
      <c r="A303">
        <v>2006</v>
      </c>
      <c r="B303" t="s">
        <v>17</v>
      </c>
      <c r="C303">
        <v>4</v>
      </c>
      <c r="D303" t="s">
        <v>246</v>
      </c>
      <c r="E303" t="s">
        <v>294</v>
      </c>
      <c r="F303">
        <v>220.13</v>
      </c>
      <c r="G303">
        <v>10</v>
      </c>
      <c r="H303">
        <v>3</v>
      </c>
      <c r="I303">
        <v>67.55</v>
      </c>
      <c r="J303">
        <v>33.799999999999997</v>
      </c>
      <c r="K303">
        <v>34.75</v>
      </c>
      <c r="L303">
        <v>152.58000000000001</v>
      </c>
      <c r="M303">
        <v>78.239999999999995</v>
      </c>
      <c r="N303">
        <v>74.34</v>
      </c>
      <c r="O303">
        <f t="shared" si="12"/>
        <v>112.03999999999999</v>
      </c>
      <c r="P303">
        <f t="shared" si="13"/>
        <v>109.09</v>
      </c>
      <c r="Q303" s="3">
        <f t="shared" si="14"/>
        <v>0.50667028444806217</v>
      </c>
      <c r="R303">
        <v>0</v>
      </c>
    </row>
    <row r="304" spans="1:18" x14ac:dyDescent="0.45">
      <c r="A304">
        <v>2006</v>
      </c>
      <c r="B304" t="s">
        <v>17</v>
      </c>
      <c r="C304">
        <v>5</v>
      </c>
      <c r="D304" t="s">
        <v>249</v>
      </c>
      <c r="E304" t="s">
        <v>294</v>
      </c>
      <c r="F304">
        <v>216.63</v>
      </c>
      <c r="G304">
        <v>2</v>
      </c>
      <c r="H304">
        <v>6</v>
      </c>
      <c r="I304">
        <v>80</v>
      </c>
      <c r="J304">
        <v>40.99</v>
      </c>
      <c r="K304">
        <v>39.01</v>
      </c>
      <c r="L304">
        <v>136.63</v>
      </c>
      <c r="M304">
        <v>61.27</v>
      </c>
      <c r="N304">
        <v>75.36</v>
      </c>
      <c r="O304">
        <f t="shared" si="12"/>
        <v>102.26</v>
      </c>
      <c r="P304">
        <f t="shared" si="13"/>
        <v>114.37</v>
      </c>
      <c r="Q304" s="3">
        <f t="shared" si="14"/>
        <v>0.47204911600424693</v>
      </c>
      <c r="R304">
        <v>0</v>
      </c>
    </row>
    <row r="305" spans="1:18" x14ac:dyDescent="0.45">
      <c r="A305">
        <v>2006</v>
      </c>
      <c r="B305" t="s">
        <v>17</v>
      </c>
      <c r="C305">
        <v>6</v>
      </c>
      <c r="D305" t="s">
        <v>207</v>
      </c>
      <c r="E305" t="s">
        <v>295</v>
      </c>
      <c r="F305">
        <v>212.89</v>
      </c>
      <c r="G305">
        <v>4</v>
      </c>
      <c r="H305">
        <v>7</v>
      </c>
      <c r="I305">
        <v>77.77</v>
      </c>
      <c r="J305">
        <v>40.590000000000003</v>
      </c>
      <c r="K305">
        <v>37.18</v>
      </c>
      <c r="L305">
        <v>135.12</v>
      </c>
      <c r="M305">
        <v>62.54</v>
      </c>
      <c r="N305">
        <v>73.58</v>
      </c>
      <c r="O305">
        <f t="shared" si="12"/>
        <v>103.13</v>
      </c>
      <c r="P305">
        <f t="shared" si="13"/>
        <v>110.75999999999999</v>
      </c>
      <c r="Q305" s="3">
        <f t="shared" si="14"/>
        <v>0.48216372901958954</v>
      </c>
      <c r="R305">
        <v>0</v>
      </c>
    </row>
    <row r="306" spans="1:18" x14ac:dyDescent="0.45">
      <c r="A306">
        <v>2006</v>
      </c>
      <c r="B306" t="s">
        <v>17</v>
      </c>
      <c r="C306">
        <v>7</v>
      </c>
      <c r="D306" t="s">
        <v>296</v>
      </c>
      <c r="E306" t="s">
        <v>294</v>
      </c>
      <c r="F306">
        <v>206.67</v>
      </c>
      <c r="G306">
        <v>8</v>
      </c>
      <c r="H306">
        <v>5</v>
      </c>
      <c r="I306">
        <v>69.150000000000006</v>
      </c>
      <c r="J306">
        <v>35.22</v>
      </c>
      <c r="K306">
        <v>33.93</v>
      </c>
      <c r="L306">
        <v>137.52000000000001</v>
      </c>
      <c r="M306">
        <v>65.8</v>
      </c>
      <c r="N306">
        <v>71.72</v>
      </c>
      <c r="O306">
        <f t="shared" si="12"/>
        <v>101.02</v>
      </c>
      <c r="P306">
        <f t="shared" si="13"/>
        <v>105.65</v>
      </c>
      <c r="Q306" s="3">
        <f t="shared" si="14"/>
        <v>0.488798567765036</v>
      </c>
      <c r="R306">
        <v>0</v>
      </c>
    </row>
    <row r="307" spans="1:18" x14ac:dyDescent="0.45">
      <c r="A307">
        <v>2006</v>
      </c>
      <c r="B307" t="s">
        <v>17</v>
      </c>
      <c r="C307">
        <v>8</v>
      </c>
      <c r="D307" t="s">
        <v>203</v>
      </c>
      <c r="E307" t="s">
        <v>297</v>
      </c>
      <c r="F307">
        <v>204.89</v>
      </c>
      <c r="G307">
        <v>5</v>
      </c>
      <c r="H307">
        <v>9</v>
      </c>
      <c r="I307">
        <v>73.77</v>
      </c>
      <c r="J307">
        <v>38.450000000000003</v>
      </c>
      <c r="K307">
        <v>35.32</v>
      </c>
      <c r="L307">
        <v>131.12</v>
      </c>
      <c r="M307">
        <v>58.82</v>
      </c>
      <c r="N307">
        <v>73.3</v>
      </c>
      <c r="O307">
        <f t="shared" si="12"/>
        <v>97.27000000000001</v>
      </c>
      <c r="P307">
        <f t="shared" si="13"/>
        <v>108.62</v>
      </c>
      <c r="Q307" s="3">
        <f t="shared" si="14"/>
        <v>0.47243673806401476</v>
      </c>
      <c r="R307">
        <v>0</v>
      </c>
    </row>
    <row r="308" spans="1:18" x14ac:dyDescent="0.45">
      <c r="A308">
        <v>2006</v>
      </c>
      <c r="B308" t="s">
        <v>17</v>
      </c>
      <c r="C308">
        <v>9</v>
      </c>
      <c r="D308" t="s">
        <v>298</v>
      </c>
      <c r="E308" t="s">
        <v>299</v>
      </c>
      <c r="F308">
        <v>197.39</v>
      </c>
      <c r="G308">
        <v>13</v>
      </c>
      <c r="H308">
        <v>8</v>
      </c>
      <c r="I308">
        <v>65.36</v>
      </c>
      <c r="J308">
        <v>33.5</v>
      </c>
      <c r="K308">
        <v>32.86</v>
      </c>
      <c r="L308">
        <v>132.03</v>
      </c>
      <c r="M308">
        <v>66.010000000000005</v>
      </c>
      <c r="N308">
        <v>66.02</v>
      </c>
      <c r="O308">
        <f t="shared" si="12"/>
        <v>99.51</v>
      </c>
      <c r="P308">
        <f t="shared" si="13"/>
        <v>98.88</v>
      </c>
      <c r="Q308" s="3">
        <f t="shared" si="14"/>
        <v>0.50158778164221995</v>
      </c>
      <c r="R308">
        <v>0</v>
      </c>
    </row>
    <row r="309" spans="1:18" x14ac:dyDescent="0.45">
      <c r="A309">
        <v>2006</v>
      </c>
      <c r="B309" t="s">
        <v>17</v>
      </c>
      <c r="C309">
        <v>10</v>
      </c>
      <c r="D309" t="s">
        <v>300</v>
      </c>
      <c r="E309" t="s">
        <v>301</v>
      </c>
      <c r="F309">
        <v>196.27</v>
      </c>
      <c r="G309">
        <v>11</v>
      </c>
      <c r="H309">
        <v>11</v>
      </c>
      <c r="I309">
        <v>67.39</v>
      </c>
      <c r="J309">
        <v>36.29</v>
      </c>
      <c r="K309">
        <v>31.1</v>
      </c>
      <c r="L309">
        <v>128.88</v>
      </c>
      <c r="M309">
        <v>65.16</v>
      </c>
      <c r="N309">
        <v>63.72</v>
      </c>
      <c r="O309">
        <f t="shared" si="12"/>
        <v>101.44999999999999</v>
      </c>
      <c r="P309">
        <f t="shared" si="13"/>
        <v>94.82</v>
      </c>
      <c r="Q309" s="3">
        <f t="shared" si="14"/>
        <v>0.51688999847149331</v>
      </c>
      <c r="R309">
        <v>0</v>
      </c>
    </row>
    <row r="310" spans="1:18" x14ac:dyDescent="0.45">
      <c r="A310">
        <v>2006</v>
      </c>
      <c r="B310" t="s">
        <v>17</v>
      </c>
      <c r="C310">
        <v>11</v>
      </c>
      <c r="D310" t="s">
        <v>302</v>
      </c>
      <c r="E310" t="s">
        <v>290</v>
      </c>
      <c r="F310">
        <v>191.8</v>
      </c>
      <c r="G310">
        <v>18</v>
      </c>
      <c r="H310">
        <v>10</v>
      </c>
      <c r="I310">
        <v>61.61</v>
      </c>
      <c r="J310">
        <v>29.9</v>
      </c>
      <c r="K310">
        <v>31.71</v>
      </c>
      <c r="L310">
        <v>130.19</v>
      </c>
      <c r="M310">
        <v>65.97</v>
      </c>
      <c r="N310">
        <v>65.22</v>
      </c>
      <c r="O310">
        <f t="shared" si="12"/>
        <v>95.87</v>
      </c>
      <c r="P310">
        <f t="shared" si="13"/>
        <v>96.93</v>
      </c>
      <c r="Q310" s="3">
        <f t="shared" si="14"/>
        <v>0.49725103734439835</v>
      </c>
      <c r="R310">
        <v>0</v>
      </c>
    </row>
    <row r="311" spans="1:18" x14ac:dyDescent="0.45">
      <c r="A311">
        <v>2006</v>
      </c>
      <c r="B311" t="s">
        <v>17</v>
      </c>
      <c r="C311">
        <v>12</v>
      </c>
      <c r="D311" t="s">
        <v>303</v>
      </c>
      <c r="E311" t="s">
        <v>293</v>
      </c>
      <c r="F311">
        <v>190.83</v>
      </c>
      <c r="G311">
        <v>12</v>
      </c>
      <c r="H311">
        <v>12</v>
      </c>
      <c r="I311">
        <v>67.2</v>
      </c>
      <c r="J311">
        <v>35.020000000000003</v>
      </c>
      <c r="K311">
        <v>32.18</v>
      </c>
      <c r="L311">
        <v>123.63</v>
      </c>
      <c r="M311">
        <v>55.13</v>
      </c>
      <c r="N311">
        <v>68.5</v>
      </c>
      <c r="O311">
        <f t="shared" si="12"/>
        <v>90.15</v>
      </c>
      <c r="P311">
        <f t="shared" si="13"/>
        <v>100.68</v>
      </c>
      <c r="Q311" s="3">
        <f t="shared" si="14"/>
        <v>0.47240999842792014</v>
      </c>
      <c r="R311">
        <v>0</v>
      </c>
    </row>
    <row r="312" spans="1:18" x14ac:dyDescent="0.45">
      <c r="A312">
        <v>2006</v>
      </c>
      <c r="B312" t="s">
        <v>17</v>
      </c>
      <c r="C312">
        <v>13</v>
      </c>
      <c r="D312" t="s">
        <v>304</v>
      </c>
      <c r="E312" t="s">
        <v>293</v>
      </c>
      <c r="F312">
        <v>190.24</v>
      </c>
      <c r="G312">
        <v>7</v>
      </c>
      <c r="H312">
        <v>14</v>
      </c>
      <c r="I312">
        <v>69.75</v>
      </c>
      <c r="J312">
        <v>33</v>
      </c>
      <c r="K312">
        <v>37.75</v>
      </c>
      <c r="L312">
        <v>120.49</v>
      </c>
      <c r="M312">
        <v>52.27</v>
      </c>
      <c r="N312">
        <v>70.22</v>
      </c>
      <c r="O312">
        <f t="shared" si="12"/>
        <v>85.27000000000001</v>
      </c>
      <c r="P312">
        <f t="shared" si="13"/>
        <v>107.97</v>
      </c>
      <c r="Q312" s="3">
        <f t="shared" si="14"/>
        <v>0.44126474849927555</v>
      </c>
      <c r="R312">
        <v>0</v>
      </c>
    </row>
    <row r="313" spans="1:18" x14ac:dyDescent="0.45">
      <c r="A313">
        <v>2006</v>
      </c>
      <c r="B313" t="s">
        <v>17</v>
      </c>
      <c r="C313">
        <v>14</v>
      </c>
      <c r="D313" t="s">
        <v>305</v>
      </c>
      <c r="E313" t="s">
        <v>306</v>
      </c>
      <c r="F313">
        <v>186.19</v>
      </c>
      <c r="G313">
        <v>9</v>
      </c>
      <c r="H313">
        <v>17</v>
      </c>
      <c r="I313">
        <v>67.66</v>
      </c>
      <c r="J313">
        <v>37.119999999999997</v>
      </c>
      <c r="K313">
        <v>30.54</v>
      </c>
      <c r="L313">
        <v>118.53</v>
      </c>
      <c r="M313">
        <v>54.23</v>
      </c>
      <c r="N313">
        <v>64.3</v>
      </c>
      <c r="O313">
        <f t="shared" si="12"/>
        <v>91.35</v>
      </c>
      <c r="P313">
        <f t="shared" si="13"/>
        <v>94.84</v>
      </c>
      <c r="Q313" s="3">
        <f t="shared" si="14"/>
        <v>0.49062785326816688</v>
      </c>
      <c r="R313">
        <v>0</v>
      </c>
    </row>
    <row r="314" spans="1:18" x14ac:dyDescent="0.45">
      <c r="A314">
        <v>2006</v>
      </c>
      <c r="B314" t="s">
        <v>17</v>
      </c>
      <c r="C314">
        <v>15</v>
      </c>
      <c r="D314" t="s">
        <v>307</v>
      </c>
      <c r="E314" t="s">
        <v>308</v>
      </c>
      <c r="F314">
        <v>184.59</v>
      </c>
      <c r="G314">
        <v>14</v>
      </c>
      <c r="H314">
        <v>16</v>
      </c>
      <c r="I314">
        <v>64.650000000000006</v>
      </c>
      <c r="J314">
        <v>35.58</v>
      </c>
      <c r="K314">
        <v>29.07</v>
      </c>
      <c r="L314">
        <v>119.94</v>
      </c>
      <c r="M314">
        <v>59</v>
      </c>
      <c r="N314">
        <v>60.94</v>
      </c>
      <c r="O314">
        <f t="shared" si="12"/>
        <v>94.58</v>
      </c>
      <c r="P314">
        <f t="shared" si="13"/>
        <v>90.009999999999991</v>
      </c>
      <c r="Q314" s="3">
        <f t="shared" si="14"/>
        <v>0.51237878541632809</v>
      </c>
      <c r="R314">
        <v>0</v>
      </c>
    </row>
    <row r="315" spans="1:18" x14ac:dyDescent="0.45">
      <c r="A315">
        <v>2006</v>
      </c>
      <c r="B315" t="s">
        <v>17</v>
      </c>
      <c r="C315">
        <v>16</v>
      </c>
      <c r="D315" t="s">
        <v>309</v>
      </c>
      <c r="E315" t="s">
        <v>301</v>
      </c>
      <c r="F315">
        <v>182.21</v>
      </c>
      <c r="G315">
        <v>21</v>
      </c>
      <c r="H315">
        <v>13</v>
      </c>
      <c r="I315">
        <v>60.23</v>
      </c>
      <c r="J315">
        <v>30.55</v>
      </c>
      <c r="K315">
        <v>30.68</v>
      </c>
      <c r="L315">
        <v>121.98</v>
      </c>
      <c r="M315">
        <v>66.040000000000006</v>
      </c>
      <c r="N315">
        <v>56.94</v>
      </c>
      <c r="O315">
        <f t="shared" si="12"/>
        <v>96.59</v>
      </c>
      <c r="P315">
        <f t="shared" si="13"/>
        <v>87.62</v>
      </c>
      <c r="Q315" s="3">
        <f t="shared" si="14"/>
        <v>0.52434721242060689</v>
      </c>
      <c r="R315">
        <v>0</v>
      </c>
    </row>
    <row r="316" spans="1:18" x14ac:dyDescent="0.45">
      <c r="A316">
        <v>2006</v>
      </c>
      <c r="B316" t="s">
        <v>17</v>
      </c>
      <c r="C316">
        <v>17</v>
      </c>
      <c r="D316" t="s">
        <v>310</v>
      </c>
      <c r="E316" t="s">
        <v>311</v>
      </c>
      <c r="F316">
        <v>180.11</v>
      </c>
      <c r="G316">
        <v>15</v>
      </c>
      <c r="H316">
        <v>18</v>
      </c>
      <c r="I316">
        <v>63.64</v>
      </c>
      <c r="J316">
        <v>34.29</v>
      </c>
      <c r="K316">
        <v>29.35</v>
      </c>
      <c r="L316">
        <v>116.47</v>
      </c>
      <c r="M316">
        <v>57.97</v>
      </c>
      <c r="N316">
        <v>58.5</v>
      </c>
      <c r="O316">
        <f t="shared" si="12"/>
        <v>92.259999999999991</v>
      </c>
      <c r="P316">
        <f t="shared" si="13"/>
        <v>87.85</v>
      </c>
      <c r="Q316" s="3">
        <f t="shared" si="14"/>
        <v>0.51224251846094049</v>
      </c>
      <c r="R316">
        <v>0</v>
      </c>
    </row>
    <row r="317" spans="1:18" x14ac:dyDescent="0.45">
      <c r="A317">
        <v>2006</v>
      </c>
      <c r="B317" t="s">
        <v>17</v>
      </c>
      <c r="C317">
        <v>18</v>
      </c>
      <c r="D317" t="s">
        <v>205</v>
      </c>
      <c r="E317" t="s">
        <v>312</v>
      </c>
      <c r="F317">
        <v>180.07</v>
      </c>
      <c r="G317">
        <v>22</v>
      </c>
      <c r="H317">
        <v>15</v>
      </c>
      <c r="I317">
        <v>59.71</v>
      </c>
      <c r="J317">
        <v>30.25</v>
      </c>
      <c r="K317">
        <v>29.46</v>
      </c>
      <c r="L317">
        <v>120.36</v>
      </c>
      <c r="M317">
        <v>63.14</v>
      </c>
      <c r="N317">
        <v>57.22</v>
      </c>
      <c r="O317">
        <f t="shared" si="12"/>
        <v>93.39</v>
      </c>
      <c r="P317">
        <f t="shared" si="13"/>
        <v>86.68</v>
      </c>
      <c r="Q317" s="3">
        <f t="shared" si="14"/>
        <v>0.51863164324984734</v>
      </c>
      <c r="R317">
        <v>0</v>
      </c>
    </row>
    <row r="318" spans="1:18" x14ac:dyDescent="0.45">
      <c r="A318">
        <v>2006</v>
      </c>
      <c r="B318" t="s">
        <v>17</v>
      </c>
      <c r="C318">
        <v>19</v>
      </c>
      <c r="D318" t="s">
        <v>313</v>
      </c>
      <c r="E318" t="s">
        <v>295</v>
      </c>
      <c r="F318">
        <v>177.59</v>
      </c>
      <c r="G318">
        <v>19</v>
      </c>
      <c r="H318">
        <v>19</v>
      </c>
      <c r="I318">
        <v>61.17</v>
      </c>
      <c r="J318">
        <v>30.48</v>
      </c>
      <c r="K318">
        <v>31.69</v>
      </c>
      <c r="L318">
        <v>116.42</v>
      </c>
      <c r="M318">
        <v>55.92</v>
      </c>
      <c r="N318">
        <v>62.5</v>
      </c>
      <c r="O318">
        <f t="shared" si="12"/>
        <v>86.4</v>
      </c>
      <c r="P318">
        <f t="shared" si="13"/>
        <v>94.19</v>
      </c>
      <c r="Q318" s="3">
        <f t="shared" si="14"/>
        <v>0.47843180685530762</v>
      </c>
      <c r="R318">
        <v>0</v>
      </c>
    </row>
    <row r="319" spans="1:18" x14ac:dyDescent="0.45">
      <c r="A319">
        <v>2006</v>
      </c>
      <c r="B319" t="s">
        <v>17</v>
      </c>
      <c r="C319">
        <v>20</v>
      </c>
      <c r="D319" t="s">
        <v>259</v>
      </c>
      <c r="E319" t="s">
        <v>314</v>
      </c>
      <c r="F319">
        <v>172.84</v>
      </c>
      <c r="G319">
        <v>16</v>
      </c>
      <c r="H319">
        <v>21</v>
      </c>
      <c r="I319">
        <v>63.41</v>
      </c>
      <c r="J319">
        <v>33.950000000000003</v>
      </c>
      <c r="K319">
        <v>29.46</v>
      </c>
      <c r="L319">
        <v>109.43</v>
      </c>
      <c r="M319">
        <v>53.93</v>
      </c>
      <c r="N319">
        <v>57.5</v>
      </c>
      <c r="O319">
        <f t="shared" si="12"/>
        <v>87.88</v>
      </c>
      <c r="P319">
        <f t="shared" si="13"/>
        <v>86.960000000000008</v>
      </c>
      <c r="Q319" s="3">
        <f t="shared" si="14"/>
        <v>0.50263097689315939</v>
      </c>
      <c r="R319">
        <v>0</v>
      </c>
    </row>
    <row r="320" spans="1:18" x14ac:dyDescent="0.45">
      <c r="A320">
        <v>2006</v>
      </c>
      <c r="B320" t="s">
        <v>17</v>
      </c>
      <c r="C320">
        <v>21</v>
      </c>
      <c r="D320" t="s">
        <v>257</v>
      </c>
      <c r="E320" t="s">
        <v>315</v>
      </c>
      <c r="F320">
        <v>172.57</v>
      </c>
      <c r="G320">
        <v>20</v>
      </c>
      <c r="H320">
        <v>20</v>
      </c>
      <c r="I320">
        <v>60.52</v>
      </c>
      <c r="J320">
        <v>27.94</v>
      </c>
      <c r="K320">
        <v>32.58</v>
      </c>
      <c r="L320">
        <v>112.05</v>
      </c>
      <c r="M320">
        <v>51.05</v>
      </c>
      <c r="N320">
        <v>62</v>
      </c>
      <c r="O320">
        <f t="shared" si="12"/>
        <v>78.989999999999995</v>
      </c>
      <c r="P320">
        <f t="shared" si="13"/>
        <v>94.58</v>
      </c>
      <c r="Q320" s="3">
        <f t="shared" si="14"/>
        <v>0.45509016535115515</v>
      </c>
      <c r="R320">
        <v>0</v>
      </c>
    </row>
    <row r="321" spans="1:18" x14ac:dyDescent="0.45">
      <c r="A321">
        <v>2006</v>
      </c>
      <c r="B321" t="s">
        <v>17</v>
      </c>
      <c r="C321">
        <v>22</v>
      </c>
      <c r="D321" t="s">
        <v>216</v>
      </c>
      <c r="E321" t="s">
        <v>316</v>
      </c>
      <c r="F321">
        <v>163.87</v>
      </c>
      <c r="G321">
        <v>17</v>
      </c>
      <c r="H321">
        <v>23</v>
      </c>
      <c r="I321">
        <v>62.17</v>
      </c>
      <c r="J321">
        <v>34.28</v>
      </c>
      <c r="K321">
        <v>27.89</v>
      </c>
      <c r="L321">
        <v>101.7</v>
      </c>
      <c r="M321">
        <v>45.26</v>
      </c>
      <c r="N321">
        <v>57.44</v>
      </c>
      <c r="O321">
        <f t="shared" si="12"/>
        <v>79.539999999999992</v>
      </c>
      <c r="P321">
        <f t="shared" si="13"/>
        <v>85.33</v>
      </c>
      <c r="Q321" s="3">
        <f t="shared" si="14"/>
        <v>0.48244071086310419</v>
      </c>
      <c r="R321">
        <v>0</v>
      </c>
    </row>
    <row r="322" spans="1:18" x14ac:dyDescent="0.45">
      <c r="A322">
        <v>2006</v>
      </c>
      <c r="B322" t="s">
        <v>17</v>
      </c>
      <c r="C322">
        <v>23</v>
      </c>
      <c r="D322" t="s">
        <v>317</v>
      </c>
      <c r="E322" t="s">
        <v>318</v>
      </c>
      <c r="F322">
        <v>161.94999999999999</v>
      </c>
      <c r="G322">
        <v>23</v>
      </c>
      <c r="H322">
        <v>22</v>
      </c>
      <c r="I322">
        <v>59.55</v>
      </c>
      <c r="J322">
        <v>31.34</v>
      </c>
      <c r="K322">
        <v>28.21</v>
      </c>
      <c r="L322">
        <v>102.4</v>
      </c>
      <c r="M322">
        <v>48.32</v>
      </c>
      <c r="N322">
        <v>56.08</v>
      </c>
      <c r="O322">
        <f t="shared" si="12"/>
        <v>79.66</v>
      </c>
      <c r="P322">
        <f t="shared" si="13"/>
        <v>84.289999999999992</v>
      </c>
      <c r="Q322" s="3">
        <f t="shared" si="14"/>
        <v>0.48587984141506557</v>
      </c>
      <c r="R322">
        <v>0</v>
      </c>
    </row>
    <row r="323" spans="1:18" x14ac:dyDescent="0.45">
      <c r="A323">
        <v>2006</v>
      </c>
      <c r="B323" t="s">
        <v>17</v>
      </c>
      <c r="C323">
        <v>24</v>
      </c>
      <c r="D323" t="s">
        <v>319</v>
      </c>
      <c r="E323" t="s">
        <v>320</v>
      </c>
      <c r="F323">
        <v>145.47</v>
      </c>
      <c r="G323">
        <v>24</v>
      </c>
      <c r="H323">
        <v>24</v>
      </c>
      <c r="I323">
        <v>55.07</v>
      </c>
      <c r="J323">
        <v>29.67</v>
      </c>
      <c r="K323">
        <v>25.4</v>
      </c>
      <c r="L323">
        <v>90.4</v>
      </c>
      <c r="M323">
        <v>42.2</v>
      </c>
      <c r="N323">
        <v>50.2</v>
      </c>
      <c r="O323">
        <f t="shared" ref="O323:O358" si="15">J323+M323</f>
        <v>71.87</v>
      </c>
      <c r="P323">
        <f t="shared" ref="P323:P358" si="16">K323+N323</f>
        <v>75.599999999999994</v>
      </c>
      <c r="Q323" s="3">
        <f t="shared" ref="Q323:Q358" si="17">IF(O323+P323=0,"",O323/(O323+P323))</f>
        <v>0.48735336000542484</v>
      </c>
      <c r="R323">
        <v>0</v>
      </c>
    </row>
    <row r="324" spans="1:18" x14ac:dyDescent="0.45">
      <c r="A324">
        <v>2006</v>
      </c>
      <c r="B324" t="s">
        <v>17</v>
      </c>
      <c r="C324" t="s">
        <v>69</v>
      </c>
      <c r="D324" t="s">
        <v>321</v>
      </c>
      <c r="E324" t="s">
        <v>322</v>
      </c>
      <c r="F324">
        <v>0</v>
      </c>
      <c r="G324">
        <v>25</v>
      </c>
      <c r="H324">
        <v>0</v>
      </c>
      <c r="I324">
        <v>53.46</v>
      </c>
      <c r="J324">
        <v>27.96</v>
      </c>
      <c r="K324">
        <v>26.5</v>
      </c>
      <c r="L324">
        <v>0</v>
      </c>
      <c r="M324">
        <v>0</v>
      </c>
      <c r="N324">
        <v>0</v>
      </c>
      <c r="O324">
        <f t="shared" si="15"/>
        <v>27.96</v>
      </c>
      <c r="P324">
        <f t="shared" si="16"/>
        <v>26.5</v>
      </c>
      <c r="Q324" s="3">
        <f t="shared" si="17"/>
        <v>0.51340433345574732</v>
      </c>
      <c r="R324">
        <v>0</v>
      </c>
    </row>
    <row r="325" spans="1:18" x14ac:dyDescent="0.45">
      <c r="A325">
        <v>2006</v>
      </c>
      <c r="B325" t="s">
        <v>17</v>
      </c>
      <c r="C325" t="s">
        <v>69</v>
      </c>
      <c r="D325" t="s">
        <v>323</v>
      </c>
      <c r="E325" t="s">
        <v>324</v>
      </c>
      <c r="F325">
        <v>0</v>
      </c>
      <c r="G325">
        <v>26</v>
      </c>
      <c r="H325">
        <v>0</v>
      </c>
      <c r="I325">
        <v>53.4</v>
      </c>
      <c r="J325">
        <v>29.44</v>
      </c>
      <c r="K325">
        <v>23.96</v>
      </c>
      <c r="L325">
        <v>0</v>
      </c>
      <c r="M325">
        <v>0</v>
      </c>
      <c r="N325">
        <v>0</v>
      </c>
      <c r="O325">
        <f t="shared" si="15"/>
        <v>29.44</v>
      </c>
      <c r="P325">
        <f t="shared" si="16"/>
        <v>23.96</v>
      </c>
      <c r="Q325" s="3">
        <f t="shared" si="17"/>
        <v>0.55131086142322094</v>
      </c>
      <c r="R325">
        <v>0</v>
      </c>
    </row>
    <row r="326" spans="1:18" x14ac:dyDescent="0.45">
      <c r="A326">
        <v>2006</v>
      </c>
      <c r="B326" t="s">
        <v>17</v>
      </c>
      <c r="C326" t="s">
        <v>69</v>
      </c>
      <c r="D326" t="s">
        <v>325</v>
      </c>
      <c r="E326" t="s">
        <v>291</v>
      </c>
      <c r="F326">
        <v>0</v>
      </c>
      <c r="G326">
        <v>27</v>
      </c>
      <c r="H326">
        <v>0</v>
      </c>
      <c r="I326">
        <v>52.18</v>
      </c>
      <c r="J326">
        <v>24.46</v>
      </c>
      <c r="K326">
        <v>27.72</v>
      </c>
      <c r="L326">
        <v>0</v>
      </c>
      <c r="M326">
        <v>0</v>
      </c>
      <c r="N326">
        <v>0</v>
      </c>
      <c r="O326">
        <f t="shared" si="15"/>
        <v>24.46</v>
      </c>
      <c r="P326">
        <f t="shared" si="16"/>
        <v>27.72</v>
      </c>
      <c r="Q326" s="3">
        <f t="shared" si="17"/>
        <v>0.46876197776926026</v>
      </c>
      <c r="R326">
        <v>0</v>
      </c>
    </row>
    <row r="327" spans="1:18" x14ac:dyDescent="0.45">
      <c r="A327">
        <v>2006</v>
      </c>
      <c r="B327" t="s">
        <v>17</v>
      </c>
      <c r="C327" t="s">
        <v>69</v>
      </c>
      <c r="D327" t="s">
        <v>326</v>
      </c>
      <c r="E327" t="s">
        <v>327</v>
      </c>
      <c r="F327">
        <v>0</v>
      </c>
      <c r="G327">
        <v>28</v>
      </c>
      <c r="H327">
        <v>0</v>
      </c>
      <c r="I327">
        <v>49.68</v>
      </c>
      <c r="J327">
        <v>24.32</v>
      </c>
      <c r="K327">
        <v>26.36</v>
      </c>
      <c r="L327">
        <v>0</v>
      </c>
      <c r="M327">
        <v>0</v>
      </c>
      <c r="N327">
        <v>0</v>
      </c>
      <c r="O327">
        <f t="shared" si="15"/>
        <v>24.32</v>
      </c>
      <c r="P327">
        <f t="shared" si="16"/>
        <v>26.36</v>
      </c>
      <c r="Q327" s="3">
        <f t="shared" si="17"/>
        <v>0.47987371744277824</v>
      </c>
      <c r="R327">
        <v>0</v>
      </c>
    </row>
    <row r="328" spans="1:18" x14ac:dyDescent="0.45">
      <c r="A328">
        <v>2006</v>
      </c>
      <c r="B328" t="s">
        <v>17</v>
      </c>
      <c r="C328" t="s">
        <v>69</v>
      </c>
      <c r="D328" t="s">
        <v>262</v>
      </c>
      <c r="E328" t="s">
        <v>328</v>
      </c>
      <c r="F328">
        <v>0</v>
      </c>
      <c r="G328">
        <v>29</v>
      </c>
      <c r="H328">
        <v>0</v>
      </c>
      <c r="I328">
        <v>46.48</v>
      </c>
      <c r="J328">
        <v>20.28</v>
      </c>
      <c r="K328">
        <v>26.2</v>
      </c>
      <c r="L328">
        <v>0</v>
      </c>
      <c r="M328">
        <v>0</v>
      </c>
      <c r="N328">
        <v>0</v>
      </c>
      <c r="O328">
        <f t="shared" si="15"/>
        <v>20.28</v>
      </c>
      <c r="P328">
        <f t="shared" si="16"/>
        <v>26.2</v>
      </c>
      <c r="Q328" s="3">
        <f t="shared" si="17"/>
        <v>0.4363166953528399</v>
      </c>
      <c r="R328">
        <v>0</v>
      </c>
    </row>
    <row r="329" spans="1:18" x14ac:dyDescent="0.45">
      <c r="A329">
        <v>2006</v>
      </c>
      <c r="B329" t="s">
        <v>17</v>
      </c>
      <c r="C329" t="s">
        <v>69</v>
      </c>
      <c r="D329" t="s">
        <v>329</v>
      </c>
      <c r="E329" t="s">
        <v>330</v>
      </c>
      <c r="F329">
        <v>0</v>
      </c>
      <c r="G329">
        <v>30</v>
      </c>
      <c r="H329">
        <v>0</v>
      </c>
      <c r="I329">
        <v>42.11</v>
      </c>
      <c r="J329">
        <v>19.5</v>
      </c>
      <c r="K329">
        <v>22.62</v>
      </c>
      <c r="L329">
        <v>0</v>
      </c>
      <c r="M329">
        <v>0</v>
      </c>
      <c r="N329">
        <v>0</v>
      </c>
      <c r="O329">
        <f t="shared" si="15"/>
        <v>19.5</v>
      </c>
      <c r="P329">
        <f t="shared" si="16"/>
        <v>22.62</v>
      </c>
      <c r="Q329" s="3">
        <f t="shared" si="17"/>
        <v>0.46296296296296291</v>
      </c>
      <c r="R329">
        <v>0</v>
      </c>
    </row>
    <row r="330" spans="1:18" x14ac:dyDescent="0.45">
      <c r="A330">
        <v>2006</v>
      </c>
      <c r="B330" t="s">
        <v>70</v>
      </c>
      <c r="C330">
        <v>1</v>
      </c>
      <c r="D330" t="s">
        <v>331</v>
      </c>
      <c r="E330" t="s">
        <v>297</v>
      </c>
      <c r="F330">
        <v>191.34</v>
      </c>
      <c r="G330">
        <v>3</v>
      </c>
      <c r="H330">
        <v>1</v>
      </c>
      <c r="I330">
        <v>66.02</v>
      </c>
      <c r="J330">
        <v>35.93</v>
      </c>
      <c r="K330">
        <v>30.09</v>
      </c>
      <c r="L330">
        <v>125.32</v>
      </c>
      <c r="M330">
        <v>62.32</v>
      </c>
      <c r="N330">
        <v>63</v>
      </c>
      <c r="O330">
        <f t="shared" si="15"/>
        <v>98.25</v>
      </c>
      <c r="P330">
        <f t="shared" si="16"/>
        <v>93.09</v>
      </c>
      <c r="Q330" s="3">
        <f t="shared" si="17"/>
        <v>0.51348385073690817</v>
      </c>
      <c r="R330">
        <v>1</v>
      </c>
    </row>
    <row r="331" spans="1:18" x14ac:dyDescent="0.45">
      <c r="A331">
        <v>2006</v>
      </c>
      <c r="B331" t="s">
        <v>70</v>
      </c>
      <c r="C331">
        <v>2</v>
      </c>
      <c r="D331" t="s">
        <v>332</v>
      </c>
      <c r="E331" t="s">
        <v>294</v>
      </c>
      <c r="F331">
        <v>183.36</v>
      </c>
      <c r="G331">
        <v>1</v>
      </c>
      <c r="H331">
        <v>2</v>
      </c>
      <c r="I331">
        <v>66.73</v>
      </c>
      <c r="J331">
        <v>35.33</v>
      </c>
      <c r="K331">
        <v>31.4</v>
      </c>
      <c r="L331">
        <v>116.63</v>
      </c>
      <c r="M331">
        <v>55.22</v>
      </c>
      <c r="N331">
        <v>62.41</v>
      </c>
      <c r="O331">
        <f t="shared" si="15"/>
        <v>90.55</v>
      </c>
      <c r="P331">
        <f t="shared" si="16"/>
        <v>93.81</v>
      </c>
      <c r="Q331" s="3">
        <f t="shared" si="17"/>
        <v>0.4911586027337817</v>
      </c>
      <c r="R331">
        <v>2</v>
      </c>
    </row>
    <row r="332" spans="1:18" x14ac:dyDescent="0.45">
      <c r="A332">
        <v>2006</v>
      </c>
      <c r="B332" t="s">
        <v>70</v>
      </c>
      <c r="C332">
        <v>3</v>
      </c>
      <c r="D332" t="s">
        <v>333</v>
      </c>
      <c r="E332" t="s">
        <v>290</v>
      </c>
      <c r="F332">
        <v>181.44</v>
      </c>
      <c r="G332">
        <v>2</v>
      </c>
      <c r="H332">
        <v>3</v>
      </c>
      <c r="I332">
        <v>66.7</v>
      </c>
      <c r="J332">
        <v>36.21</v>
      </c>
      <c r="K332">
        <v>30.49</v>
      </c>
      <c r="L332">
        <v>114.74</v>
      </c>
      <c r="M332">
        <v>53.87</v>
      </c>
      <c r="N332">
        <v>61.87</v>
      </c>
      <c r="O332">
        <f t="shared" si="15"/>
        <v>90.08</v>
      </c>
      <c r="P332">
        <f t="shared" si="16"/>
        <v>92.36</v>
      </c>
      <c r="Q332" s="3">
        <f t="shared" si="17"/>
        <v>0.49375137031352773</v>
      </c>
      <c r="R332">
        <v>3</v>
      </c>
    </row>
    <row r="333" spans="1:18" x14ac:dyDescent="0.45">
      <c r="A333">
        <v>2006</v>
      </c>
      <c r="B333" t="s">
        <v>70</v>
      </c>
      <c r="C333">
        <v>4</v>
      </c>
      <c r="D333" t="s">
        <v>334</v>
      </c>
      <c r="E333" t="s">
        <v>297</v>
      </c>
      <c r="F333">
        <v>175.23</v>
      </c>
      <c r="G333">
        <v>4</v>
      </c>
      <c r="H333">
        <v>4</v>
      </c>
      <c r="I333">
        <v>61.75</v>
      </c>
      <c r="J333">
        <v>32.61</v>
      </c>
      <c r="K333">
        <v>29.14</v>
      </c>
      <c r="L333">
        <v>113.48</v>
      </c>
      <c r="M333">
        <v>54.23</v>
      </c>
      <c r="N333">
        <v>59.25</v>
      </c>
      <c r="O333">
        <f t="shared" si="15"/>
        <v>86.84</v>
      </c>
      <c r="P333">
        <f t="shared" si="16"/>
        <v>88.39</v>
      </c>
      <c r="Q333" s="3">
        <f t="shared" si="17"/>
        <v>0.49557724133995318</v>
      </c>
      <c r="R333">
        <v>0</v>
      </c>
    </row>
    <row r="334" spans="1:18" x14ac:dyDescent="0.45">
      <c r="A334">
        <v>2006</v>
      </c>
      <c r="B334" t="s">
        <v>70</v>
      </c>
      <c r="C334">
        <v>5</v>
      </c>
      <c r="D334" t="s">
        <v>267</v>
      </c>
      <c r="E334" t="s">
        <v>293</v>
      </c>
      <c r="F334">
        <v>167.27</v>
      </c>
      <c r="G334">
        <v>9</v>
      </c>
      <c r="H334">
        <v>5</v>
      </c>
      <c r="I334">
        <v>55.85</v>
      </c>
      <c r="J334">
        <v>28.87</v>
      </c>
      <c r="K334">
        <v>26.98</v>
      </c>
      <c r="L334">
        <v>111.42</v>
      </c>
      <c r="M334">
        <v>55.29</v>
      </c>
      <c r="N334">
        <v>56.13</v>
      </c>
      <c r="O334">
        <f t="shared" si="15"/>
        <v>84.16</v>
      </c>
      <c r="P334">
        <f t="shared" si="16"/>
        <v>83.11</v>
      </c>
      <c r="Q334" s="3">
        <f t="shared" si="17"/>
        <v>0.50313863812996951</v>
      </c>
      <c r="R334">
        <v>0</v>
      </c>
    </row>
    <row r="335" spans="1:18" x14ac:dyDescent="0.45">
      <c r="A335">
        <v>2006</v>
      </c>
      <c r="B335" t="s">
        <v>70</v>
      </c>
      <c r="C335">
        <v>6</v>
      </c>
      <c r="D335" t="s">
        <v>335</v>
      </c>
      <c r="E335" t="s">
        <v>294</v>
      </c>
      <c r="F335">
        <v>165.71</v>
      </c>
      <c r="G335">
        <v>5</v>
      </c>
      <c r="H335">
        <v>6</v>
      </c>
      <c r="I335">
        <v>59.4</v>
      </c>
      <c r="J335">
        <v>34.200000000000003</v>
      </c>
      <c r="K335">
        <v>25.2</v>
      </c>
      <c r="L335">
        <v>106.31</v>
      </c>
      <c r="M335">
        <v>52.77</v>
      </c>
      <c r="N335">
        <v>53.54</v>
      </c>
      <c r="O335">
        <f t="shared" si="15"/>
        <v>86.97</v>
      </c>
      <c r="P335">
        <f t="shared" si="16"/>
        <v>78.739999999999995</v>
      </c>
      <c r="Q335" s="3">
        <f t="shared" si="17"/>
        <v>0.52483253877255454</v>
      </c>
      <c r="R335">
        <v>0</v>
      </c>
    </row>
    <row r="336" spans="1:18" x14ac:dyDescent="0.45">
      <c r="A336">
        <v>2006</v>
      </c>
      <c r="B336" t="s">
        <v>70</v>
      </c>
      <c r="C336">
        <v>7</v>
      </c>
      <c r="D336" t="s">
        <v>336</v>
      </c>
      <c r="E336" t="s">
        <v>294</v>
      </c>
      <c r="F336">
        <v>160.87</v>
      </c>
      <c r="G336">
        <v>7</v>
      </c>
      <c r="H336">
        <v>7</v>
      </c>
      <c r="I336">
        <v>57.08</v>
      </c>
      <c r="J336">
        <v>31.71</v>
      </c>
      <c r="K336">
        <v>25.37</v>
      </c>
      <c r="L336">
        <v>103.79</v>
      </c>
      <c r="M336">
        <v>53.82</v>
      </c>
      <c r="N336">
        <v>50.97</v>
      </c>
      <c r="O336">
        <f t="shared" si="15"/>
        <v>85.53</v>
      </c>
      <c r="P336">
        <f t="shared" si="16"/>
        <v>76.34</v>
      </c>
      <c r="Q336" s="3">
        <f t="shared" si="17"/>
        <v>0.52838697720392902</v>
      </c>
      <c r="R336">
        <v>0</v>
      </c>
    </row>
    <row r="337" spans="1:18" x14ac:dyDescent="0.45">
      <c r="A337">
        <v>2006</v>
      </c>
      <c r="B337" t="s">
        <v>70</v>
      </c>
      <c r="C337">
        <v>8</v>
      </c>
      <c r="D337" t="s">
        <v>276</v>
      </c>
      <c r="E337" t="s">
        <v>291</v>
      </c>
      <c r="F337">
        <v>156.13</v>
      </c>
      <c r="G337">
        <v>10</v>
      </c>
      <c r="H337">
        <v>8</v>
      </c>
      <c r="I337">
        <v>55.57</v>
      </c>
      <c r="J337">
        <v>30.69</v>
      </c>
      <c r="K337">
        <v>24.88</v>
      </c>
      <c r="L337">
        <v>100.56</v>
      </c>
      <c r="M337">
        <v>49.31</v>
      </c>
      <c r="N337">
        <v>51.25</v>
      </c>
      <c r="O337">
        <f t="shared" si="15"/>
        <v>80</v>
      </c>
      <c r="P337">
        <f t="shared" si="16"/>
        <v>76.13</v>
      </c>
      <c r="Q337" s="3">
        <f t="shared" si="17"/>
        <v>0.51239351822199453</v>
      </c>
      <c r="R337">
        <v>0</v>
      </c>
    </row>
    <row r="338" spans="1:18" x14ac:dyDescent="0.45">
      <c r="A338">
        <v>2006</v>
      </c>
      <c r="B338" t="s">
        <v>70</v>
      </c>
      <c r="C338">
        <v>9</v>
      </c>
      <c r="D338" t="s">
        <v>180</v>
      </c>
      <c r="E338" t="s">
        <v>322</v>
      </c>
      <c r="F338">
        <v>153.5</v>
      </c>
      <c r="G338">
        <v>11</v>
      </c>
      <c r="H338">
        <v>9</v>
      </c>
      <c r="I338">
        <v>53.77</v>
      </c>
      <c r="J338">
        <v>26.25</v>
      </c>
      <c r="K338">
        <v>28.52</v>
      </c>
      <c r="L338">
        <v>99.73</v>
      </c>
      <c r="M338">
        <v>43.84</v>
      </c>
      <c r="N338">
        <v>55.89</v>
      </c>
      <c r="O338">
        <f t="shared" si="15"/>
        <v>70.09</v>
      </c>
      <c r="P338">
        <f t="shared" si="16"/>
        <v>84.41</v>
      </c>
      <c r="Q338" s="3">
        <f t="shared" si="17"/>
        <v>0.45365695792880262</v>
      </c>
      <c r="R338">
        <v>0</v>
      </c>
    </row>
    <row r="339" spans="1:18" x14ac:dyDescent="0.45">
      <c r="A339">
        <v>2006</v>
      </c>
      <c r="B339" t="s">
        <v>70</v>
      </c>
      <c r="C339">
        <v>10</v>
      </c>
      <c r="D339" t="s">
        <v>235</v>
      </c>
      <c r="E339" t="s">
        <v>327</v>
      </c>
      <c r="F339">
        <v>151.46</v>
      </c>
      <c r="G339">
        <v>6</v>
      </c>
      <c r="H339">
        <v>13</v>
      </c>
      <c r="I339">
        <v>57.9</v>
      </c>
      <c r="J339">
        <v>33.25</v>
      </c>
      <c r="K339">
        <v>24.65</v>
      </c>
      <c r="L339">
        <v>93.56</v>
      </c>
      <c r="M339">
        <v>43.6</v>
      </c>
      <c r="N339">
        <v>49.96</v>
      </c>
      <c r="O339">
        <f t="shared" si="15"/>
        <v>76.849999999999994</v>
      </c>
      <c r="P339">
        <f t="shared" si="16"/>
        <v>74.61</v>
      </c>
      <c r="Q339" s="3">
        <f t="shared" si="17"/>
        <v>0.50739469166776707</v>
      </c>
      <c r="R339">
        <v>0</v>
      </c>
    </row>
    <row r="340" spans="1:18" x14ac:dyDescent="0.45">
      <c r="A340">
        <v>2006</v>
      </c>
      <c r="B340" t="s">
        <v>70</v>
      </c>
      <c r="C340">
        <v>11</v>
      </c>
      <c r="D340" t="s">
        <v>279</v>
      </c>
      <c r="E340" t="s">
        <v>301</v>
      </c>
      <c r="F340">
        <v>145.30000000000001</v>
      </c>
      <c r="G340">
        <v>15</v>
      </c>
      <c r="H340">
        <v>11</v>
      </c>
      <c r="I340">
        <v>49.84</v>
      </c>
      <c r="J340">
        <v>27.24</v>
      </c>
      <c r="K340">
        <v>22.6</v>
      </c>
      <c r="L340">
        <v>95.46</v>
      </c>
      <c r="M340">
        <v>50.4</v>
      </c>
      <c r="N340">
        <v>45.06</v>
      </c>
      <c r="O340">
        <f t="shared" si="15"/>
        <v>77.64</v>
      </c>
      <c r="P340">
        <f t="shared" si="16"/>
        <v>67.66</v>
      </c>
      <c r="Q340" s="3">
        <f t="shared" si="17"/>
        <v>0.53434273916035779</v>
      </c>
      <c r="R340">
        <v>0</v>
      </c>
    </row>
    <row r="341" spans="1:18" x14ac:dyDescent="0.45">
      <c r="A341">
        <v>2006</v>
      </c>
      <c r="B341" t="s">
        <v>70</v>
      </c>
      <c r="C341">
        <v>12</v>
      </c>
      <c r="D341" t="s">
        <v>337</v>
      </c>
      <c r="E341" t="s">
        <v>293</v>
      </c>
      <c r="F341">
        <v>145.16</v>
      </c>
      <c r="G341">
        <v>14</v>
      </c>
      <c r="H341">
        <v>12</v>
      </c>
      <c r="I341">
        <v>50.61</v>
      </c>
      <c r="J341">
        <v>29.38</v>
      </c>
      <c r="K341">
        <v>21.23</v>
      </c>
      <c r="L341">
        <v>94.55</v>
      </c>
      <c r="M341">
        <v>51.83</v>
      </c>
      <c r="N341">
        <v>42.72</v>
      </c>
      <c r="O341">
        <f t="shared" si="15"/>
        <v>81.209999999999994</v>
      </c>
      <c r="P341">
        <f t="shared" si="16"/>
        <v>63.95</v>
      </c>
      <c r="Q341" s="3">
        <f t="shared" si="17"/>
        <v>0.55945163957012944</v>
      </c>
      <c r="R341">
        <v>0</v>
      </c>
    </row>
    <row r="342" spans="1:18" x14ac:dyDescent="0.45">
      <c r="A342">
        <v>2006</v>
      </c>
      <c r="B342" t="s">
        <v>70</v>
      </c>
      <c r="C342">
        <v>13</v>
      </c>
      <c r="D342" t="s">
        <v>338</v>
      </c>
      <c r="E342" t="s">
        <v>339</v>
      </c>
      <c r="F342">
        <v>143.22</v>
      </c>
      <c r="G342">
        <v>12</v>
      </c>
      <c r="H342">
        <v>15</v>
      </c>
      <c r="I342">
        <v>53.74</v>
      </c>
      <c r="J342">
        <v>28.43</v>
      </c>
      <c r="K342">
        <v>25.31</v>
      </c>
      <c r="L342">
        <v>89.48</v>
      </c>
      <c r="M342">
        <v>40.54</v>
      </c>
      <c r="N342">
        <v>49.94</v>
      </c>
      <c r="O342">
        <f t="shared" si="15"/>
        <v>68.97</v>
      </c>
      <c r="P342">
        <f t="shared" si="16"/>
        <v>75.25</v>
      </c>
      <c r="Q342" s="3">
        <f t="shared" si="17"/>
        <v>0.47822770766883926</v>
      </c>
      <c r="R342">
        <v>0</v>
      </c>
    </row>
    <row r="343" spans="1:18" x14ac:dyDescent="0.45">
      <c r="A343">
        <v>2006</v>
      </c>
      <c r="B343" t="s">
        <v>70</v>
      </c>
      <c r="C343">
        <v>14</v>
      </c>
      <c r="D343" t="s">
        <v>340</v>
      </c>
      <c r="E343" t="s">
        <v>290</v>
      </c>
      <c r="F343">
        <v>142.35</v>
      </c>
      <c r="G343">
        <v>18</v>
      </c>
      <c r="H343">
        <v>10</v>
      </c>
      <c r="I343">
        <v>46.69</v>
      </c>
      <c r="J343">
        <v>21.13</v>
      </c>
      <c r="K343">
        <v>25.56</v>
      </c>
      <c r="L343">
        <v>95.66</v>
      </c>
      <c r="M343">
        <v>45.38</v>
      </c>
      <c r="N343">
        <v>50.28</v>
      </c>
      <c r="O343">
        <f t="shared" si="15"/>
        <v>66.510000000000005</v>
      </c>
      <c r="P343">
        <f t="shared" si="16"/>
        <v>75.84</v>
      </c>
      <c r="Q343" s="3">
        <f t="shared" si="17"/>
        <v>0.46722866174920963</v>
      </c>
      <c r="R343">
        <v>0</v>
      </c>
    </row>
    <row r="344" spans="1:18" x14ac:dyDescent="0.45">
      <c r="A344">
        <v>2006</v>
      </c>
      <c r="B344" t="s">
        <v>70</v>
      </c>
      <c r="C344">
        <v>15</v>
      </c>
      <c r="D344" t="s">
        <v>268</v>
      </c>
      <c r="E344" t="s">
        <v>297</v>
      </c>
      <c r="F344">
        <v>140.19999999999999</v>
      </c>
      <c r="G344">
        <v>8</v>
      </c>
      <c r="H344">
        <v>16</v>
      </c>
      <c r="I344">
        <v>56</v>
      </c>
      <c r="J344">
        <v>29.12</v>
      </c>
      <c r="K344">
        <v>26.88</v>
      </c>
      <c r="L344">
        <v>84.2</v>
      </c>
      <c r="M344">
        <v>35.69</v>
      </c>
      <c r="N344">
        <v>50.51</v>
      </c>
      <c r="O344">
        <f t="shared" si="15"/>
        <v>64.81</v>
      </c>
      <c r="P344">
        <f t="shared" si="16"/>
        <v>77.39</v>
      </c>
      <c r="Q344" s="3">
        <f t="shared" si="17"/>
        <v>0.45576652601969064</v>
      </c>
      <c r="R344">
        <v>0</v>
      </c>
    </row>
    <row r="345" spans="1:18" x14ac:dyDescent="0.45">
      <c r="A345">
        <v>2006</v>
      </c>
      <c r="B345" t="s">
        <v>70</v>
      </c>
      <c r="C345">
        <v>16</v>
      </c>
      <c r="D345" t="s">
        <v>273</v>
      </c>
      <c r="E345" t="s">
        <v>339</v>
      </c>
      <c r="F345">
        <v>137.19999999999999</v>
      </c>
      <c r="G345">
        <v>20</v>
      </c>
      <c r="H345">
        <v>14</v>
      </c>
      <c r="I345">
        <v>44.84</v>
      </c>
      <c r="J345">
        <v>23.84</v>
      </c>
      <c r="K345">
        <v>21</v>
      </c>
      <c r="L345">
        <v>92.36</v>
      </c>
      <c r="M345">
        <v>48.84</v>
      </c>
      <c r="N345">
        <v>43.52</v>
      </c>
      <c r="O345">
        <f t="shared" si="15"/>
        <v>72.680000000000007</v>
      </c>
      <c r="P345">
        <f t="shared" si="16"/>
        <v>64.52000000000001</v>
      </c>
      <c r="Q345" s="3">
        <f t="shared" si="17"/>
        <v>0.52973760932944602</v>
      </c>
      <c r="R345">
        <v>0</v>
      </c>
    </row>
    <row r="346" spans="1:18" x14ac:dyDescent="0.45">
      <c r="A346">
        <v>2006</v>
      </c>
      <c r="B346" t="s">
        <v>70</v>
      </c>
      <c r="C346">
        <v>17</v>
      </c>
      <c r="D346" t="s">
        <v>341</v>
      </c>
      <c r="E346" t="s">
        <v>314</v>
      </c>
      <c r="F346">
        <v>134.08000000000001</v>
      </c>
      <c r="G346">
        <v>13</v>
      </c>
      <c r="H346">
        <v>18</v>
      </c>
      <c r="I346">
        <v>52.35</v>
      </c>
      <c r="J346">
        <v>27.47</v>
      </c>
      <c r="K346">
        <v>24.88</v>
      </c>
      <c r="L346">
        <v>81.73</v>
      </c>
      <c r="M346">
        <v>36.01</v>
      </c>
      <c r="N346">
        <v>45.72</v>
      </c>
      <c r="O346">
        <f t="shared" si="15"/>
        <v>63.48</v>
      </c>
      <c r="P346">
        <f t="shared" si="16"/>
        <v>70.599999999999994</v>
      </c>
      <c r="Q346" s="3">
        <f t="shared" si="17"/>
        <v>0.47344868735083534</v>
      </c>
      <c r="R346">
        <v>0</v>
      </c>
    </row>
    <row r="347" spans="1:18" x14ac:dyDescent="0.45">
      <c r="A347">
        <v>2006</v>
      </c>
      <c r="B347" t="s">
        <v>70</v>
      </c>
      <c r="C347">
        <v>18</v>
      </c>
      <c r="D347" t="s">
        <v>277</v>
      </c>
      <c r="E347" t="s">
        <v>320</v>
      </c>
      <c r="F347">
        <v>129.26</v>
      </c>
      <c r="G347">
        <v>16</v>
      </c>
      <c r="H347">
        <v>20</v>
      </c>
      <c r="I347">
        <v>49.58</v>
      </c>
      <c r="J347">
        <v>26.75</v>
      </c>
      <c r="K347">
        <v>23.83</v>
      </c>
      <c r="L347">
        <v>79.680000000000007</v>
      </c>
      <c r="M347">
        <v>34.86</v>
      </c>
      <c r="N347">
        <v>45.82</v>
      </c>
      <c r="O347">
        <f t="shared" si="15"/>
        <v>61.61</v>
      </c>
      <c r="P347">
        <f t="shared" si="16"/>
        <v>69.650000000000006</v>
      </c>
      <c r="Q347" s="3">
        <f t="shared" si="17"/>
        <v>0.46937376199908581</v>
      </c>
      <c r="R347">
        <v>0</v>
      </c>
    </row>
    <row r="348" spans="1:18" x14ac:dyDescent="0.45">
      <c r="A348">
        <v>2006</v>
      </c>
      <c r="B348" t="s">
        <v>70</v>
      </c>
      <c r="C348">
        <v>19</v>
      </c>
      <c r="D348" t="s">
        <v>342</v>
      </c>
      <c r="E348" t="s">
        <v>343</v>
      </c>
      <c r="F348">
        <v>127.07</v>
      </c>
      <c r="G348">
        <v>17</v>
      </c>
      <c r="H348">
        <v>19</v>
      </c>
      <c r="I348">
        <v>47.06</v>
      </c>
      <c r="J348">
        <v>26.74</v>
      </c>
      <c r="K348">
        <v>20.32</v>
      </c>
      <c r="L348">
        <v>80.010000000000005</v>
      </c>
      <c r="M348">
        <v>39.15</v>
      </c>
      <c r="N348">
        <v>40.86</v>
      </c>
      <c r="O348">
        <f t="shared" si="15"/>
        <v>65.89</v>
      </c>
      <c r="P348">
        <f t="shared" si="16"/>
        <v>61.18</v>
      </c>
      <c r="Q348" s="3">
        <f t="shared" si="17"/>
        <v>0.51853309199653741</v>
      </c>
      <c r="R348">
        <v>0</v>
      </c>
    </row>
    <row r="349" spans="1:18" x14ac:dyDescent="0.45">
      <c r="A349">
        <v>2006</v>
      </c>
      <c r="B349" t="s">
        <v>70</v>
      </c>
      <c r="C349">
        <v>20</v>
      </c>
      <c r="D349" t="s">
        <v>344</v>
      </c>
      <c r="E349" t="s">
        <v>314</v>
      </c>
      <c r="F349">
        <v>125.37</v>
      </c>
      <c r="G349">
        <v>24</v>
      </c>
      <c r="H349">
        <v>17</v>
      </c>
      <c r="I349">
        <v>41.25</v>
      </c>
      <c r="J349">
        <v>20.43</v>
      </c>
      <c r="K349">
        <v>21.82</v>
      </c>
      <c r="L349">
        <v>84.12</v>
      </c>
      <c r="M349">
        <v>41.7</v>
      </c>
      <c r="N349">
        <v>42.42</v>
      </c>
      <c r="O349">
        <f t="shared" si="15"/>
        <v>62.13</v>
      </c>
      <c r="P349">
        <f t="shared" si="16"/>
        <v>64.240000000000009</v>
      </c>
      <c r="Q349" s="3">
        <f t="shared" si="17"/>
        <v>0.49165149956477011</v>
      </c>
      <c r="R349">
        <v>0</v>
      </c>
    </row>
    <row r="350" spans="1:18" x14ac:dyDescent="0.45">
      <c r="A350">
        <v>2006</v>
      </c>
      <c r="B350" t="s">
        <v>70</v>
      </c>
      <c r="C350">
        <v>21</v>
      </c>
      <c r="D350" t="s">
        <v>283</v>
      </c>
      <c r="E350" t="s">
        <v>345</v>
      </c>
      <c r="F350">
        <v>123.64</v>
      </c>
      <c r="G350">
        <v>22</v>
      </c>
      <c r="H350">
        <v>21</v>
      </c>
      <c r="I350">
        <v>44.2</v>
      </c>
      <c r="J350">
        <v>25.7</v>
      </c>
      <c r="K350">
        <v>18.5</v>
      </c>
      <c r="L350">
        <v>79.44</v>
      </c>
      <c r="M350">
        <v>42.64</v>
      </c>
      <c r="N350">
        <v>36.799999999999997</v>
      </c>
      <c r="O350">
        <f t="shared" si="15"/>
        <v>68.34</v>
      </c>
      <c r="P350">
        <f t="shared" si="16"/>
        <v>55.3</v>
      </c>
      <c r="Q350" s="3">
        <f t="shared" si="17"/>
        <v>0.55273374312520218</v>
      </c>
      <c r="R350">
        <v>0</v>
      </c>
    </row>
    <row r="351" spans="1:18" x14ac:dyDescent="0.45">
      <c r="A351">
        <v>2006</v>
      </c>
      <c r="B351" t="s">
        <v>70</v>
      </c>
      <c r="C351">
        <v>22</v>
      </c>
      <c r="D351" t="s">
        <v>346</v>
      </c>
      <c r="E351" t="s">
        <v>322</v>
      </c>
      <c r="F351">
        <v>120.37</v>
      </c>
      <c r="G351">
        <v>23</v>
      </c>
      <c r="H351">
        <v>22</v>
      </c>
      <c r="I351">
        <v>42.47</v>
      </c>
      <c r="J351">
        <v>19.87</v>
      </c>
      <c r="K351">
        <v>22.6</v>
      </c>
      <c r="L351">
        <v>77.900000000000006</v>
      </c>
      <c r="M351">
        <v>35.67</v>
      </c>
      <c r="N351">
        <v>42.23</v>
      </c>
      <c r="O351">
        <f t="shared" si="15"/>
        <v>55.540000000000006</v>
      </c>
      <c r="P351">
        <f t="shared" si="16"/>
        <v>64.83</v>
      </c>
      <c r="Q351" s="3">
        <f t="shared" si="17"/>
        <v>0.46141065049430924</v>
      </c>
      <c r="R351">
        <v>0</v>
      </c>
    </row>
    <row r="352" spans="1:18" x14ac:dyDescent="0.45">
      <c r="A352">
        <v>2006</v>
      </c>
      <c r="B352" t="s">
        <v>70</v>
      </c>
      <c r="C352">
        <v>23</v>
      </c>
      <c r="D352" t="s">
        <v>347</v>
      </c>
      <c r="E352" t="s">
        <v>320</v>
      </c>
      <c r="F352">
        <v>119.85</v>
      </c>
      <c r="G352">
        <v>19</v>
      </c>
      <c r="H352">
        <v>23</v>
      </c>
      <c r="I352">
        <v>46.4</v>
      </c>
      <c r="J352">
        <v>26.78</v>
      </c>
      <c r="K352">
        <v>19.62</v>
      </c>
      <c r="L352">
        <v>73.45</v>
      </c>
      <c r="M352">
        <v>36.58</v>
      </c>
      <c r="N352">
        <v>37.869999999999997</v>
      </c>
      <c r="O352">
        <f t="shared" si="15"/>
        <v>63.36</v>
      </c>
      <c r="P352">
        <f t="shared" si="16"/>
        <v>57.489999999999995</v>
      </c>
      <c r="Q352" s="3">
        <f t="shared" si="17"/>
        <v>0.52428630533719489</v>
      </c>
      <c r="R352">
        <v>0</v>
      </c>
    </row>
    <row r="353" spans="1:18" x14ac:dyDescent="0.45">
      <c r="A353">
        <v>2006</v>
      </c>
      <c r="B353" t="s">
        <v>70</v>
      </c>
      <c r="C353">
        <v>24</v>
      </c>
      <c r="D353" t="s">
        <v>348</v>
      </c>
      <c r="E353" t="s">
        <v>349</v>
      </c>
      <c r="F353">
        <v>109.57</v>
      </c>
      <c r="G353">
        <v>21</v>
      </c>
      <c r="H353">
        <v>24</v>
      </c>
      <c r="I353">
        <v>44.53</v>
      </c>
      <c r="J353">
        <v>24.33</v>
      </c>
      <c r="K353">
        <v>20.2</v>
      </c>
      <c r="L353">
        <v>65.040000000000006</v>
      </c>
      <c r="M353">
        <v>26.77</v>
      </c>
      <c r="N353">
        <v>39.270000000000003</v>
      </c>
      <c r="O353">
        <f t="shared" si="15"/>
        <v>51.099999999999994</v>
      </c>
      <c r="P353">
        <f t="shared" si="16"/>
        <v>59.47</v>
      </c>
      <c r="Q353" s="3">
        <f t="shared" si="17"/>
        <v>0.46215067378131497</v>
      </c>
      <c r="R353">
        <v>0</v>
      </c>
    </row>
    <row r="354" spans="1:18" x14ac:dyDescent="0.45">
      <c r="A354">
        <v>2006</v>
      </c>
      <c r="B354" t="s">
        <v>70</v>
      </c>
      <c r="C354" t="s">
        <v>69</v>
      </c>
      <c r="D354" t="s">
        <v>350</v>
      </c>
      <c r="E354" t="s">
        <v>351</v>
      </c>
      <c r="F354">
        <v>0</v>
      </c>
      <c r="G354">
        <v>25</v>
      </c>
      <c r="H354">
        <v>0</v>
      </c>
      <c r="I354">
        <v>40.86</v>
      </c>
      <c r="J354">
        <v>21.21</v>
      </c>
      <c r="K354">
        <v>20.65</v>
      </c>
      <c r="L354">
        <v>0</v>
      </c>
      <c r="M354">
        <v>0</v>
      </c>
      <c r="N354">
        <v>0</v>
      </c>
      <c r="O354">
        <f t="shared" si="15"/>
        <v>21.21</v>
      </c>
      <c r="P354">
        <f t="shared" si="16"/>
        <v>20.65</v>
      </c>
      <c r="Q354" s="3">
        <f t="shared" si="17"/>
        <v>0.50668896321070234</v>
      </c>
      <c r="R354">
        <v>0</v>
      </c>
    </row>
    <row r="355" spans="1:18" x14ac:dyDescent="0.45">
      <c r="A355">
        <v>2006</v>
      </c>
      <c r="B355" t="s">
        <v>70</v>
      </c>
      <c r="C355" t="s">
        <v>69</v>
      </c>
      <c r="D355" t="s">
        <v>352</v>
      </c>
      <c r="E355" t="s">
        <v>306</v>
      </c>
      <c r="F355">
        <v>0</v>
      </c>
      <c r="G355">
        <v>26</v>
      </c>
      <c r="H355">
        <v>0</v>
      </c>
      <c r="I355">
        <v>39.369999999999997</v>
      </c>
      <c r="J355">
        <v>21.49</v>
      </c>
      <c r="K355">
        <v>17.88</v>
      </c>
      <c r="L355">
        <v>0</v>
      </c>
      <c r="M355">
        <v>0</v>
      </c>
      <c r="N355">
        <v>0</v>
      </c>
      <c r="O355">
        <f t="shared" si="15"/>
        <v>21.49</v>
      </c>
      <c r="P355">
        <f t="shared" si="16"/>
        <v>17.88</v>
      </c>
      <c r="Q355" s="3">
        <f t="shared" si="17"/>
        <v>0.54584709169418344</v>
      </c>
      <c r="R355">
        <v>0</v>
      </c>
    </row>
    <row r="356" spans="1:18" x14ac:dyDescent="0.45">
      <c r="A356">
        <v>2006</v>
      </c>
      <c r="B356" t="s">
        <v>70</v>
      </c>
      <c r="C356" t="s">
        <v>69</v>
      </c>
      <c r="D356" t="s">
        <v>353</v>
      </c>
      <c r="E356" t="s">
        <v>330</v>
      </c>
      <c r="F356">
        <v>0</v>
      </c>
      <c r="G356">
        <v>27</v>
      </c>
      <c r="H356">
        <v>0</v>
      </c>
      <c r="I356">
        <v>39.159999999999997</v>
      </c>
      <c r="J356">
        <v>19.37</v>
      </c>
      <c r="K356">
        <v>19.79</v>
      </c>
      <c r="L356">
        <v>0</v>
      </c>
      <c r="M356">
        <v>0</v>
      </c>
      <c r="N356">
        <v>0</v>
      </c>
      <c r="O356">
        <f t="shared" si="15"/>
        <v>19.37</v>
      </c>
      <c r="P356">
        <f t="shared" si="16"/>
        <v>19.79</v>
      </c>
      <c r="Q356" s="3">
        <f t="shared" si="17"/>
        <v>0.49463738508682337</v>
      </c>
      <c r="R356">
        <v>0</v>
      </c>
    </row>
    <row r="357" spans="1:18" x14ac:dyDescent="0.45">
      <c r="A357">
        <v>2006</v>
      </c>
      <c r="B357" t="s">
        <v>70</v>
      </c>
      <c r="C357" t="s">
        <v>69</v>
      </c>
      <c r="D357" t="s">
        <v>245</v>
      </c>
      <c r="E357" t="s">
        <v>354</v>
      </c>
      <c r="F357">
        <v>0</v>
      </c>
      <c r="G357">
        <v>28</v>
      </c>
      <c r="H357">
        <v>0</v>
      </c>
      <c r="I357">
        <v>38.47</v>
      </c>
      <c r="J357">
        <v>21.06</v>
      </c>
      <c r="K357">
        <v>18.41</v>
      </c>
      <c r="L357">
        <v>0</v>
      </c>
      <c r="M357">
        <v>0</v>
      </c>
      <c r="N357">
        <v>0</v>
      </c>
      <c r="O357">
        <f t="shared" si="15"/>
        <v>21.06</v>
      </c>
      <c r="P357">
        <f t="shared" si="16"/>
        <v>18.41</v>
      </c>
      <c r="Q357" s="3">
        <f t="shared" si="17"/>
        <v>0.5335697998479858</v>
      </c>
      <c r="R357">
        <v>0</v>
      </c>
    </row>
    <row r="358" spans="1:18" x14ac:dyDescent="0.45">
      <c r="A358">
        <v>2006</v>
      </c>
      <c r="B358" t="s">
        <v>70</v>
      </c>
      <c r="C358" t="s">
        <v>69</v>
      </c>
      <c r="D358" t="s">
        <v>282</v>
      </c>
      <c r="E358" t="s">
        <v>355</v>
      </c>
      <c r="F358">
        <v>0</v>
      </c>
      <c r="G358">
        <v>29</v>
      </c>
      <c r="H358">
        <v>0</v>
      </c>
      <c r="I358">
        <v>38.44</v>
      </c>
      <c r="J358">
        <v>19.059999999999999</v>
      </c>
      <c r="K358">
        <v>19.38</v>
      </c>
      <c r="L358">
        <v>0</v>
      </c>
      <c r="M358">
        <v>0</v>
      </c>
      <c r="N358">
        <v>0</v>
      </c>
      <c r="O358">
        <f t="shared" si="15"/>
        <v>19.059999999999999</v>
      </c>
      <c r="P358">
        <f t="shared" si="16"/>
        <v>19.38</v>
      </c>
      <c r="Q358" s="3">
        <f t="shared" si="17"/>
        <v>0.49583766909469301</v>
      </c>
      <c r="R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Gudigar</dc:creator>
  <cp:lastModifiedBy>Nupur Gudigar</cp:lastModifiedBy>
  <dcterms:created xsi:type="dcterms:W3CDTF">2026-02-26T06:16:25Z</dcterms:created>
  <dcterms:modified xsi:type="dcterms:W3CDTF">2026-02-26T23:19:43Z</dcterms:modified>
</cp:coreProperties>
</file>